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blax_dtu_dk/Documents/Brianna_shared/02 Fluorinase/"/>
    </mc:Choice>
  </mc:AlternateContent>
  <xr:revisionPtr revIDLastSave="236" documentId="8_{AF336567-731A-144D-8366-6B525D0A4996}" xr6:coauthVersionLast="47" xr6:coauthVersionMax="47" xr10:uidLastSave="{CB56000A-4F63-5049-94CF-D1D3A5205AAF}"/>
  <bookViews>
    <workbookView xWindow="-38400" yWindow="0" windowWidth="38400" windowHeight="24000" activeTab="3" xr2:uid="{C48F492D-8EDB-A640-89D7-53EAB323BA8B}"/>
  </bookViews>
  <sheets>
    <sheet name="WT averages" sheetId="1" r:id="rId1"/>
    <sheet name="Sheet1" sheetId="2" r:id="rId2"/>
    <sheet name="Sheet2" sheetId="3" r:id="rId3"/>
    <sheet name="corrected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2" i="4"/>
  <c r="E2" i="4"/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3" i="2"/>
  <c r="J2" i="2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" i="3"/>
  <c r="P7" i="3" l="1"/>
  <c r="P8" i="3"/>
  <c r="P9" i="3"/>
  <c r="P10" i="3"/>
  <c r="P12" i="3"/>
  <c r="P13" i="3"/>
  <c r="P18" i="3"/>
  <c r="P19" i="3"/>
  <c r="P15" i="3"/>
  <c r="P3" i="3"/>
  <c r="P4" i="3"/>
  <c r="P5" i="3"/>
  <c r="P6" i="3"/>
  <c r="P14" i="3"/>
  <c r="P16" i="3"/>
  <c r="P17" i="3"/>
  <c r="P20" i="3"/>
  <c r="P2" i="3"/>
  <c r="N3" i="3"/>
  <c r="N4" i="3"/>
  <c r="N5" i="3"/>
  <c r="N6" i="3"/>
  <c r="N7" i="3"/>
  <c r="N8" i="3"/>
  <c r="N9" i="3"/>
  <c r="N10" i="3"/>
  <c r="N12" i="3"/>
  <c r="N13" i="3"/>
  <c r="N14" i="3"/>
  <c r="N15" i="3"/>
  <c r="N16" i="3"/>
  <c r="N17" i="3"/>
  <c r="N18" i="3"/>
  <c r="N19" i="3"/>
  <c r="N20" i="3"/>
  <c r="N2" i="3"/>
  <c r="M3" i="3"/>
  <c r="M4" i="3"/>
  <c r="M5" i="3"/>
  <c r="M6" i="3"/>
  <c r="M7" i="3"/>
  <c r="M8" i="3"/>
  <c r="M9" i="3"/>
  <c r="M10" i="3"/>
  <c r="M12" i="3"/>
  <c r="M13" i="3"/>
  <c r="M14" i="3"/>
  <c r="M15" i="3"/>
  <c r="M16" i="3"/>
  <c r="M17" i="3"/>
  <c r="M18" i="3"/>
  <c r="M19" i="3"/>
  <c r="M20" i="3"/>
  <c r="M2" i="3"/>
  <c r="K18" i="3"/>
  <c r="J18" i="3"/>
  <c r="L18" i="3" s="1"/>
  <c r="F18" i="3"/>
  <c r="H18" i="3" s="1"/>
  <c r="E18" i="3"/>
  <c r="G18" i="3" s="1"/>
  <c r="I18" i="3" s="1"/>
  <c r="K15" i="3"/>
  <c r="J15" i="3"/>
  <c r="L15" i="3" s="1"/>
  <c r="F15" i="3"/>
  <c r="H15" i="3" s="1"/>
  <c r="E15" i="3"/>
  <c r="G15" i="3" s="1"/>
  <c r="I15" i="3" s="1"/>
  <c r="K12" i="3"/>
  <c r="J12" i="3"/>
  <c r="L12" i="3" s="1"/>
  <c r="F12" i="3"/>
  <c r="H12" i="3" s="1"/>
  <c r="E12" i="3"/>
  <c r="G12" i="3" s="1"/>
  <c r="K20" i="3"/>
  <c r="J20" i="3"/>
  <c r="L20" i="3" s="1"/>
  <c r="F20" i="3"/>
  <c r="H20" i="3" s="1"/>
  <c r="E20" i="3"/>
  <c r="G20" i="3" s="1"/>
  <c r="K19" i="3"/>
  <c r="J19" i="3"/>
  <c r="F19" i="3"/>
  <c r="H19" i="3" s="1"/>
  <c r="E19" i="3"/>
  <c r="G19" i="3" s="1"/>
  <c r="K17" i="3"/>
  <c r="J17" i="3"/>
  <c r="L17" i="3" s="1"/>
  <c r="H17" i="3"/>
  <c r="F17" i="3"/>
  <c r="E17" i="3"/>
  <c r="G17" i="3" s="1"/>
  <c r="K16" i="3"/>
  <c r="J16" i="3"/>
  <c r="L16" i="3" s="1"/>
  <c r="F16" i="3"/>
  <c r="H16" i="3" s="1"/>
  <c r="E16" i="3"/>
  <c r="G16" i="3" s="1"/>
  <c r="I16" i="3" s="1"/>
  <c r="K14" i="3"/>
  <c r="J14" i="3"/>
  <c r="F14" i="3"/>
  <c r="H14" i="3" s="1"/>
  <c r="E14" i="3"/>
  <c r="G14" i="3" s="1"/>
  <c r="K13" i="3"/>
  <c r="J13" i="3"/>
  <c r="F13" i="3"/>
  <c r="H13" i="3" s="1"/>
  <c r="E13" i="3"/>
  <c r="G13" i="3" s="1"/>
  <c r="I13" i="3" s="1"/>
  <c r="I12" i="3" l="1"/>
  <c r="L14" i="3"/>
  <c r="L19" i="3"/>
  <c r="L13" i="3"/>
  <c r="I17" i="3"/>
  <c r="I19" i="3"/>
  <c r="I20" i="3"/>
  <c r="I14" i="3"/>
  <c r="H8" i="3" l="1"/>
  <c r="K8" i="3"/>
  <c r="J8" i="3"/>
  <c r="L8" i="3" s="1"/>
  <c r="F8" i="3"/>
  <c r="E8" i="3"/>
  <c r="G8" i="3" s="1"/>
  <c r="K5" i="3"/>
  <c r="J5" i="3"/>
  <c r="L5" i="3" s="1"/>
  <c r="F5" i="3"/>
  <c r="H5" i="3" s="1"/>
  <c r="E5" i="3"/>
  <c r="G5" i="3" s="1"/>
  <c r="I5" i="3" s="1"/>
  <c r="K2" i="3"/>
  <c r="J2" i="3"/>
  <c r="F2" i="3"/>
  <c r="H2" i="3" s="1"/>
  <c r="E2" i="3"/>
  <c r="G2" i="3" s="1"/>
  <c r="I2" i="3" s="1"/>
  <c r="K10" i="3"/>
  <c r="J10" i="3"/>
  <c r="F10" i="3"/>
  <c r="H10" i="3" s="1"/>
  <c r="E10" i="3"/>
  <c r="G10" i="3" s="1"/>
  <c r="K9" i="3"/>
  <c r="J9" i="3"/>
  <c r="F9" i="3"/>
  <c r="H9" i="3" s="1"/>
  <c r="E9" i="3"/>
  <c r="G9" i="3" s="1"/>
  <c r="I9" i="3" s="1"/>
  <c r="K7" i="3"/>
  <c r="J7" i="3"/>
  <c r="F7" i="3"/>
  <c r="H7" i="3" s="1"/>
  <c r="E7" i="3"/>
  <c r="G7" i="3" s="1"/>
  <c r="K6" i="3"/>
  <c r="J6" i="3"/>
  <c r="F6" i="3"/>
  <c r="H6" i="3" s="1"/>
  <c r="E6" i="3"/>
  <c r="G6" i="3" s="1"/>
  <c r="K4" i="3"/>
  <c r="J4" i="3"/>
  <c r="L4" i="3" s="1"/>
  <c r="F4" i="3"/>
  <c r="H4" i="3" s="1"/>
  <c r="E4" i="3"/>
  <c r="G4" i="3" s="1"/>
  <c r="K3" i="3"/>
  <c r="J3" i="3"/>
  <c r="F3" i="3"/>
  <c r="H3" i="3" s="1"/>
  <c r="E3" i="3"/>
  <c r="G3" i="3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" i="2"/>
  <c r="E3" i="2"/>
  <c r="G3" i="2" s="1"/>
  <c r="F3" i="2"/>
  <c r="H3" i="2" s="1"/>
  <c r="E4" i="2"/>
  <c r="F4" i="2"/>
  <c r="H4" i="2" s="1"/>
  <c r="G4" i="2"/>
  <c r="E5" i="2"/>
  <c r="G5" i="2" s="1"/>
  <c r="I5" i="2" s="1"/>
  <c r="F5" i="2"/>
  <c r="H5" i="2"/>
  <c r="E6" i="2"/>
  <c r="G6" i="2" s="1"/>
  <c r="F6" i="2"/>
  <c r="H6" i="2"/>
  <c r="E7" i="2"/>
  <c r="G7" i="2" s="1"/>
  <c r="F7" i="2"/>
  <c r="H7" i="2" s="1"/>
  <c r="E8" i="2"/>
  <c r="F8" i="2"/>
  <c r="H8" i="2" s="1"/>
  <c r="G8" i="2"/>
  <c r="I8" i="2" s="1"/>
  <c r="E9" i="2"/>
  <c r="G9" i="2" s="1"/>
  <c r="F9" i="2"/>
  <c r="H9" i="2" s="1"/>
  <c r="E10" i="2"/>
  <c r="G10" i="2" s="1"/>
  <c r="I10" i="2" s="1"/>
  <c r="F10" i="2"/>
  <c r="H10" i="2"/>
  <c r="E11" i="2"/>
  <c r="G11" i="2" s="1"/>
  <c r="F11" i="2"/>
  <c r="H11" i="2"/>
  <c r="E12" i="2"/>
  <c r="G12" i="2" s="1"/>
  <c r="I12" i="2" s="1"/>
  <c r="F12" i="2"/>
  <c r="H12" i="2"/>
  <c r="E13" i="2"/>
  <c r="G13" i="2" s="1"/>
  <c r="F13" i="2"/>
  <c r="H13" i="2" s="1"/>
  <c r="E14" i="2"/>
  <c r="G14" i="2" s="1"/>
  <c r="F14" i="2"/>
  <c r="H14" i="2" s="1"/>
  <c r="E15" i="2"/>
  <c r="F15" i="2"/>
  <c r="H15" i="2" s="1"/>
  <c r="G15" i="2"/>
  <c r="I15" i="2" s="1"/>
  <c r="E16" i="2"/>
  <c r="G16" i="2" s="1"/>
  <c r="F16" i="2"/>
  <c r="H16" i="2"/>
  <c r="E17" i="2"/>
  <c r="G17" i="2" s="1"/>
  <c r="F17" i="2"/>
  <c r="H17" i="2" s="1"/>
  <c r="E18" i="2"/>
  <c r="G18" i="2" s="1"/>
  <c r="I18" i="2" s="1"/>
  <c r="F18" i="2"/>
  <c r="H18" i="2" s="1"/>
  <c r="E19" i="2"/>
  <c r="G19" i="2" s="1"/>
  <c r="I19" i="2" s="1"/>
  <c r="F19" i="2"/>
  <c r="H19" i="2" s="1"/>
  <c r="E20" i="2"/>
  <c r="F20" i="2"/>
  <c r="H20" i="2" s="1"/>
  <c r="G20" i="2"/>
  <c r="I20" i="2" s="1"/>
  <c r="E21" i="2"/>
  <c r="F21" i="2"/>
  <c r="G21" i="2"/>
  <c r="I21" i="2" s="1"/>
  <c r="H21" i="2"/>
  <c r="E22" i="2"/>
  <c r="G22" i="2" s="1"/>
  <c r="F22" i="2"/>
  <c r="H22" i="2" s="1"/>
  <c r="E23" i="2"/>
  <c r="F23" i="2"/>
  <c r="H23" i="2" s="1"/>
  <c r="G23" i="2"/>
  <c r="I23" i="2" s="1"/>
  <c r="E24" i="2"/>
  <c r="G24" i="2" s="1"/>
  <c r="F24" i="2"/>
  <c r="H24" i="2" s="1"/>
  <c r="E25" i="2"/>
  <c r="G25" i="2" s="1"/>
  <c r="F25" i="2"/>
  <c r="H25" i="2" s="1"/>
  <c r="E26" i="2"/>
  <c r="G26" i="2" s="1"/>
  <c r="I26" i="2" s="1"/>
  <c r="F26" i="2"/>
  <c r="H26" i="2" s="1"/>
  <c r="E27" i="2"/>
  <c r="G27" i="2" s="1"/>
  <c r="F27" i="2"/>
  <c r="H27" i="2" s="1"/>
  <c r="E28" i="2"/>
  <c r="F28" i="2"/>
  <c r="H28" i="2" s="1"/>
  <c r="G28" i="2"/>
  <c r="E29" i="2"/>
  <c r="G29" i="2" s="1"/>
  <c r="I29" i="2" s="1"/>
  <c r="F29" i="2"/>
  <c r="H29" i="2" s="1"/>
  <c r="E30" i="2"/>
  <c r="F30" i="2"/>
  <c r="H30" i="2" s="1"/>
  <c r="G30" i="2"/>
  <c r="E31" i="2"/>
  <c r="F31" i="2"/>
  <c r="H31" i="2" s="1"/>
  <c r="G31" i="2"/>
  <c r="E32" i="2"/>
  <c r="G32" i="2" s="1"/>
  <c r="F32" i="2"/>
  <c r="H32" i="2" s="1"/>
  <c r="E33" i="2"/>
  <c r="G33" i="2" s="1"/>
  <c r="F33" i="2"/>
  <c r="H33" i="2" s="1"/>
  <c r="E34" i="2"/>
  <c r="F34" i="2"/>
  <c r="H34" i="2" s="1"/>
  <c r="I34" i="2" s="1"/>
  <c r="G34" i="2"/>
  <c r="E35" i="2"/>
  <c r="G35" i="2" s="1"/>
  <c r="F35" i="2"/>
  <c r="H35" i="2" s="1"/>
  <c r="I35" i="2"/>
  <c r="E36" i="2"/>
  <c r="G36" i="2" s="1"/>
  <c r="F36" i="2"/>
  <c r="H36" i="2" s="1"/>
  <c r="E37" i="2"/>
  <c r="G37" i="2" s="1"/>
  <c r="F37" i="2"/>
  <c r="H37" i="2" s="1"/>
  <c r="E38" i="2"/>
  <c r="G38" i="2" s="1"/>
  <c r="F38" i="2"/>
  <c r="H38" i="2" s="1"/>
  <c r="E39" i="2"/>
  <c r="G39" i="2" s="1"/>
  <c r="F39" i="2"/>
  <c r="H39" i="2"/>
  <c r="E40" i="2"/>
  <c r="G40" i="2" s="1"/>
  <c r="F40" i="2"/>
  <c r="H40" i="2" s="1"/>
  <c r="E41" i="2"/>
  <c r="F41" i="2"/>
  <c r="G41" i="2"/>
  <c r="I41" i="2" s="1"/>
  <c r="H41" i="2"/>
  <c r="E42" i="2"/>
  <c r="G42" i="2" s="1"/>
  <c r="I42" i="2" s="1"/>
  <c r="F42" i="2"/>
  <c r="H42" i="2" s="1"/>
  <c r="E43" i="2"/>
  <c r="F43" i="2"/>
  <c r="H43" i="2" s="1"/>
  <c r="G43" i="2"/>
  <c r="I43" i="2" s="1"/>
  <c r="E44" i="2"/>
  <c r="G44" i="2" s="1"/>
  <c r="F44" i="2"/>
  <c r="H44" i="2" s="1"/>
  <c r="E45" i="2"/>
  <c r="G45" i="2" s="1"/>
  <c r="I45" i="2" s="1"/>
  <c r="F45" i="2"/>
  <c r="H45" i="2"/>
  <c r="E46" i="2"/>
  <c r="G46" i="2" s="1"/>
  <c r="I46" i="2" s="1"/>
  <c r="F46" i="2"/>
  <c r="H46" i="2" s="1"/>
  <c r="E47" i="2"/>
  <c r="G47" i="2" s="1"/>
  <c r="F47" i="2"/>
  <c r="H47" i="2" s="1"/>
  <c r="E48" i="2"/>
  <c r="G48" i="2" s="1"/>
  <c r="I48" i="2" s="1"/>
  <c r="F48" i="2"/>
  <c r="H48" i="2" s="1"/>
  <c r="E49" i="2"/>
  <c r="G49" i="2" s="1"/>
  <c r="F49" i="2"/>
  <c r="H49" i="2" s="1"/>
  <c r="E50" i="2"/>
  <c r="G50" i="2" s="1"/>
  <c r="F50" i="2"/>
  <c r="H50" i="2" s="1"/>
  <c r="E51" i="2"/>
  <c r="G51" i="2" s="1"/>
  <c r="I51" i="2" s="1"/>
  <c r="F51" i="2"/>
  <c r="H51" i="2" s="1"/>
  <c r="E52" i="2"/>
  <c r="G52" i="2" s="1"/>
  <c r="F52" i="2"/>
  <c r="H52" i="2" s="1"/>
  <c r="E53" i="2"/>
  <c r="F53" i="2"/>
  <c r="H53" i="2" s="1"/>
  <c r="G53" i="2"/>
  <c r="I53" i="2" s="1"/>
  <c r="E54" i="2"/>
  <c r="F54" i="2"/>
  <c r="G54" i="2"/>
  <c r="I54" i="2" s="1"/>
  <c r="H54" i="2"/>
  <c r="E55" i="2"/>
  <c r="G55" i="2" s="1"/>
  <c r="F55" i="2"/>
  <c r="H55" i="2" s="1"/>
  <c r="E56" i="2"/>
  <c r="F56" i="2"/>
  <c r="H56" i="2" s="1"/>
  <c r="G56" i="2"/>
  <c r="I56" i="2" s="1"/>
  <c r="E57" i="2"/>
  <c r="G57" i="2" s="1"/>
  <c r="I57" i="2" s="1"/>
  <c r="F57" i="2"/>
  <c r="H57" i="2" s="1"/>
  <c r="E58" i="2"/>
  <c r="G58" i="2" s="1"/>
  <c r="F58" i="2"/>
  <c r="H58" i="2" s="1"/>
  <c r="E59" i="2"/>
  <c r="F59" i="2"/>
  <c r="H59" i="2" s="1"/>
  <c r="G59" i="2"/>
  <c r="I59" i="2" s="1"/>
  <c r="E60" i="2"/>
  <c r="G60" i="2" s="1"/>
  <c r="F60" i="2"/>
  <c r="H60" i="2" s="1"/>
  <c r="E61" i="2"/>
  <c r="G61" i="2" s="1"/>
  <c r="F61" i="2"/>
  <c r="H61" i="2"/>
  <c r="E62" i="2"/>
  <c r="G62" i="2" s="1"/>
  <c r="I62" i="2" s="1"/>
  <c r="F62" i="2"/>
  <c r="H62" i="2" s="1"/>
  <c r="E63" i="2"/>
  <c r="F63" i="2"/>
  <c r="H63" i="2" s="1"/>
  <c r="G63" i="2"/>
  <c r="E64" i="2"/>
  <c r="F64" i="2"/>
  <c r="H64" i="2" s="1"/>
  <c r="G64" i="2"/>
  <c r="E65" i="2"/>
  <c r="G65" i="2" s="1"/>
  <c r="F65" i="2"/>
  <c r="H65" i="2" s="1"/>
  <c r="E66" i="2"/>
  <c r="G66" i="2" s="1"/>
  <c r="F66" i="2"/>
  <c r="H66" i="2" s="1"/>
  <c r="E67" i="2"/>
  <c r="F67" i="2"/>
  <c r="H67" i="2" s="1"/>
  <c r="G67" i="2"/>
  <c r="I67" i="2" s="1"/>
  <c r="E68" i="2"/>
  <c r="G68" i="2" s="1"/>
  <c r="I68" i="2" s="1"/>
  <c r="F68" i="2"/>
  <c r="H68" i="2" s="1"/>
  <c r="E69" i="2"/>
  <c r="G69" i="2" s="1"/>
  <c r="F69" i="2"/>
  <c r="H69" i="2"/>
  <c r="E70" i="2"/>
  <c r="F70" i="2"/>
  <c r="H70" i="2" s="1"/>
  <c r="G70" i="2"/>
  <c r="I70" i="2" s="1"/>
  <c r="E71" i="2"/>
  <c r="G71" i="2" s="1"/>
  <c r="F71" i="2"/>
  <c r="H71" i="2" s="1"/>
  <c r="E72" i="2"/>
  <c r="G72" i="2" s="1"/>
  <c r="F72" i="2"/>
  <c r="H72" i="2"/>
  <c r="E73" i="2"/>
  <c r="G73" i="2" s="1"/>
  <c r="F73" i="2"/>
  <c r="H73" i="2" s="1"/>
  <c r="E74" i="2"/>
  <c r="F74" i="2"/>
  <c r="G74" i="2"/>
  <c r="I74" i="2" s="1"/>
  <c r="H74" i="2"/>
  <c r="E75" i="2"/>
  <c r="G75" i="2" s="1"/>
  <c r="I75" i="2" s="1"/>
  <c r="F75" i="2"/>
  <c r="H75" i="2" s="1"/>
  <c r="E76" i="2"/>
  <c r="F76" i="2"/>
  <c r="H76" i="2" s="1"/>
  <c r="I76" i="2" s="1"/>
  <c r="G76" i="2"/>
  <c r="E77" i="2"/>
  <c r="G77" i="2" s="1"/>
  <c r="F77" i="2"/>
  <c r="H77" i="2" s="1"/>
  <c r="E78" i="2"/>
  <c r="G78" i="2" s="1"/>
  <c r="I78" i="2" s="1"/>
  <c r="F78" i="2"/>
  <c r="H78" i="2" s="1"/>
  <c r="E79" i="2"/>
  <c r="G79" i="2" s="1"/>
  <c r="F79" i="2"/>
  <c r="H79" i="2" s="1"/>
  <c r="E80" i="2"/>
  <c r="G80" i="2" s="1"/>
  <c r="F80" i="2"/>
  <c r="H80" i="2"/>
  <c r="E81" i="2"/>
  <c r="G81" i="2" s="1"/>
  <c r="I81" i="2" s="1"/>
  <c r="F81" i="2"/>
  <c r="H81" i="2" s="1"/>
  <c r="E82" i="2"/>
  <c r="G82" i="2" s="1"/>
  <c r="I82" i="2" s="1"/>
  <c r="F82" i="2"/>
  <c r="H82" i="2" s="1"/>
  <c r="E83" i="2"/>
  <c r="F83" i="2"/>
  <c r="H83" i="2" s="1"/>
  <c r="G83" i="2"/>
  <c r="E84" i="2"/>
  <c r="G84" i="2" s="1"/>
  <c r="F84" i="2"/>
  <c r="H84" i="2" s="1"/>
  <c r="E85" i="2"/>
  <c r="F85" i="2"/>
  <c r="H85" i="2" s="1"/>
  <c r="G85" i="2"/>
  <c r="E86" i="2"/>
  <c r="F86" i="2"/>
  <c r="H86" i="2" s="1"/>
  <c r="G86" i="2"/>
  <c r="E87" i="2"/>
  <c r="G87" i="2" s="1"/>
  <c r="I87" i="2" s="1"/>
  <c r="F87" i="2"/>
  <c r="H87" i="2"/>
  <c r="E88" i="2"/>
  <c r="G88" i="2" s="1"/>
  <c r="F88" i="2"/>
  <c r="H88" i="2" s="1"/>
  <c r="E89" i="2"/>
  <c r="F89" i="2"/>
  <c r="G89" i="2"/>
  <c r="I89" i="2" s="1"/>
  <c r="H89" i="2"/>
  <c r="E90" i="2"/>
  <c r="G90" i="2" s="1"/>
  <c r="F90" i="2"/>
  <c r="H90" i="2" s="1"/>
  <c r="E91" i="2"/>
  <c r="G91" i="2" s="1"/>
  <c r="I91" i="2" s="1"/>
  <c r="F91" i="2"/>
  <c r="H91" i="2"/>
  <c r="E92" i="2"/>
  <c r="G92" i="2" s="1"/>
  <c r="I92" i="2" s="1"/>
  <c r="F92" i="2"/>
  <c r="H92" i="2" s="1"/>
  <c r="E93" i="2"/>
  <c r="G93" i="2" s="1"/>
  <c r="F93" i="2"/>
  <c r="H93" i="2" s="1"/>
  <c r="E94" i="2"/>
  <c r="G94" i="2" s="1"/>
  <c r="F94" i="2"/>
  <c r="H94" i="2"/>
  <c r="E95" i="2"/>
  <c r="G95" i="2" s="1"/>
  <c r="I95" i="2" s="1"/>
  <c r="F95" i="2"/>
  <c r="H95" i="2" s="1"/>
  <c r="E96" i="2"/>
  <c r="G96" i="2" s="1"/>
  <c r="I96" i="2" s="1"/>
  <c r="F96" i="2"/>
  <c r="H96" i="2"/>
  <c r="E97" i="2"/>
  <c r="G97" i="2" s="1"/>
  <c r="I97" i="2" s="1"/>
  <c r="F97" i="2"/>
  <c r="H97" i="2" s="1"/>
  <c r="E98" i="2"/>
  <c r="G98" i="2" s="1"/>
  <c r="F98" i="2"/>
  <c r="H98" i="2" s="1"/>
  <c r="E99" i="2"/>
  <c r="G99" i="2" s="1"/>
  <c r="F99" i="2"/>
  <c r="H99" i="2"/>
  <c r="E100" i="2"/>
  <c r="G100" i="2" s="1"/>
  <c r="I100" i="2" s="1"/>
  <c r="F100" i="2"/>
  <c r="H100" i="2"/>
  <c r="E101" i="2"/>
  <c r="G101" i="2" s="1"/>
  <c r="F101" i="2"/>
  <c r="H101" i="2" s="1"/>
  <c r="I101" i="2" s="1"/>
  <c r="E102" i="2"/>
  <c r="G102" i="2" s="1"/>
  <c r="F102" i="2"/>
  <c r="H102" i="2"/>
  <c r="E103" i="2"/>
  <c r="G103" i="2" s="1"/>
  <c r="I103" i="2" s="1"/>
  <c r="F103" i="2"/>
  <c r="H103" i="2" s="1"/>
  <c r="E104" i="2"/>
  <c r="G104" i="2" s="1"/>
  <c r="F104" i="2"/>
  <c r="H104" i="2" s="1"/>
  <c r="E105" i="2"/>
  <c r="G105" i="2" s="1"/>
  <c r="F105" i="2"/>
  <c r="H105" i="2"/>
  <c r="E106" i="2"/>
  <c r="G106" i="2" s="1"/>
  <c r="F106" i="2"/>
  <c r="H106" i="2" s="1"/>
  <c r="E107" i="2"/>
  <c r="F107" i="2"/>
  <c r="G107" i="2"/>
  <c r="I107" i="2" s="1"/>
  <c r="H107" i="2"/>
  <c r="E108" i="2"/>
  <c r="G108" i="2" s="1"/>
  <c r="I108" i="2" s="1"/>
  <c r="F108" i="2"/>
  <c r="H108" i="2" s="1"/>
  <c r="E109" i="2"/>
  <c r="F109" i="2"/>
  <c r="G109" i="2"/>
  <c r="H109" i="2"/>
  <c r="I109" i="2" s="1"/>
  <c r="E110" i="2"/>
  <c r="G110" i="2" s="1"/>
  <c r="F110" i="2"/>
  <c r="H110" i="2"/>
  <c r="E111" i="2"/>
  <c r="F111" i="2"/>
  <c r="H111" i="2" s="1"/>
  <c r="G111" i="2"/>
  <c r="E112" i="2"/>
  <c r="G112" i="2" s="1"/>
  <c r="F112" i="2"/>
  <c r="H112" i="2"/>
  <c r="E113" i="2"/>
  <c r="G113" i="2" s="1"/>
  <c r="F113" i="2"/>
  <c r="H113" i="2"/>
  <c r="E114" i="2"/>
  <c r="F114" i="2"/>
  <c r="H114" i="2" s="1"/>
  <c r="G114" i="2"/>
  <c r="I114" i="2" s="1"/>
  <c r="E115" i="2"/>
  <c r="G115" i="2" s="1"/>
  <c r="I115" i="2" s="1"/>
  <c r="F115" i="2"/>
  <c r="H115" i="2" s="1"/>
  <c r="E116" i="2"/>
  <c r="F116" i="2"/>
  <c r="H116" i="2" s="1"/>
  <c r="G116" i="2"/>
  <c r="E117" i="2"/>
  <c r="G117" i="2" s="1"/>
  <c r="F117" i="2"/>
  <c r="H117" i="2" s="1"/>
  <c r="E118" i="2"/>
  <c r="F118" i="2"/>
  <c r="H118" i="2" s="1"/>
  <c r="I118" i="2" s="1"/>
  <c r="G118" i="2"/>
  <c r="E119" i="2"/>
  <c r="F119" i="2"/>
  <c r="H119" i="2" s="1"/>
  <c r="G119" i="2"/>
  <c r="I119" i="2" s="1"/>
  <c r="E120" i="2"/>
  <c r="G120" i="2" s="1"/>
  <c r="I120" i="2" s="1"/>
  <c r="F120" i="2"/>
  <c r="H120" i="2"/>
  <c r="E121" i="2"/>
  <c r="G121" i="2" s="1"/>
  <c r="F121" i="2"/>
  <c r="H121" i="2" s="1"/>
  <c r="E122" i="2"/>
  <c r="F122" i="2"/>
  <c r="H122" i="2" s="1"/>
  <c r="G122" i="2"/>
  <c r="I122" i="2" s="1"/>
  <c r="E123" i="2"/>
  <c r="G123" i="2" s="1"/>
  <c r="F123" i="2"/>
  <c r="H123" i="2" s="1"/>
  <c r="E124" i="2"/>
  <c r="G124" i="2" s="1"/>
  <c r="F124" i="2"/>
  <c r="H124" i="2" s="1"/>
  <c r="E125" i="2"/>
  <c r="G125" i="2" s="1"/>
  <c r="F125" i="2"/>
  <c r="H125" i="2" s="1"/>
  <c r="E126" i="2"/>
  <c r="G126" i="2" s="1"/>
  <c r="F126" i="2"/>
  <c r="H126" i="2" s="1"/>
  <c r="E127" i="2"/>
  <c r="F127" i="2"/>
  <c r="G127" i="2"/>
  <c r="H127" i="2"/>
  <c r="E128" i="2"/>
  <c r="G128" i="2" s="1"/>
  <c r="F128" i="2"/>
  <c r="H128" i="2" s="1"/>
  <c r="E129" i="2"/>
  <c r="F129" i="2"/>
  <c r="G129" i="2"/>
  <c r="H129" i="2"/>
  <c r="I129" i="2"/>
  <c r="E130" i="2"/>
  <c r="F130" i="2"/>
  <c r="H130" i="2" s="1"/>
  <c r="G130" i="2"/>
  <c r="I130" i="2" s="1"/>
  <c r="E131" i="2"/>
  <c r="F131" i="2"/>
  <c r="H131" i="2" s="1"/>
  <c r="I131" i="2" s="1"/>
  <c r="G131" i="2"/>
  <c r="E132" i="2"/>
  <c r="F132" i="2"/>
  <c r="G132" i="2"/>
  <c r="H132" i="2"/>
  <c r="E133" i="2"/>
  <c r="F133" i="2"/>
  <c r="G133" i="2"/>
  <c r="I133" i="2" s="1"/>
  <c r="H133" i="2"/>
  <c r="E134" i="2"/>
  <c r="G134" i="2" s="1"/>
  <c r="F134" i="2"/>
  <c r="H134" i="2" s="1"/>
  <c r="E135" i="2"/>
  <c r="G135" i="2" s="1"/>
  <c r="F135" i="2"/>
  <c r="H135" i="2" s="1"/>
  <c r="E136" i="2"/>
  <c r="G136" i="2" s="1"/>
  <c r="F136" i="2"/>
  <c r="H136" i="2" s="1"/>
  <c r="E137" i="2"/>
  <c r="G137" i="2" s="1"/>
  <c r="I137" i="2" s="1"/>
  <c r="F137" i="2"/>
  <c r="H137" i="2" s="1"/>
  <c r="E138" i="2"/>
  <c r="G138" i="2" s="1"/>
  <c r="F138" i="2"/>
  <c r="H138" i="2" s="1"/>
  <c r="E139" i="2"/>
  <c r="G139" i="2" s="1"/>
  <c r="F139" i="2"/>
  <c r="H139" i="2" s="1"/>
  <c r="E140" i="2"/>
  <c r="G140" i="2" s="1"/>
  <c r="I140" i="2" s="1"/>
  <c r="F140" i="2"/>
  <c r="H140" i="2"/>
  <c r="E141" i="2"/>
  <c r="G141" i="2" s="1"/>
  <c r="I141" i="2" s="1"/>
  <c r="F141" i="2"/>
  <c r="H141" i="2" s="1"/>
  <c r="E142" i="2"/>
  <c r="F142" i="2"/>
  <c r="G142" i="2"/>
  <c r="H142" i="2"/>
  <c r="I142" i="2" s="1"/>
  <c r="E143" i="2"/>
  <c r="G143" i="2" s="1"/>
  <c r="I143" i="2" s="1"/>
  <c r="F143" i="2"/>
  <c r="H143" i="2"/>
  <c r="E144" i="2"/>
  <c r="G144" i="2" s="1"/>
  <c r="F144" i="2"/>
  <c r="H144" i="2" s="1"/>
  <c r="E145" i="2"/>
  <c r="G145" i="2" s="1"/>
  <c r="F145" i="2"/>
  <c r="H145" i="2"/>
  <c r="E146" i="2"/>
  <c r="G146" i="2" s="1"/>
  <c r="I146" i="2" s="1"/>
  <c r="F146" i="2"/>
  <c r="H146" i="2"/>
  <c r="E147" i="2"/>
  <c r="G147" i="2" s="1"/>
  <c r="I147" i="2" s="1"/>
  <c r="F147" i="2"/>
  <c r="H147" i="2" s="1"/>
  <c r="E148" i="2"/>
  <c r="G148" i="2" s="1"/>
  <c r="F148" i="2"/>
  <c r="H148" i="2" s="1"/>
  <c r="E149" i="2"/>
  <c r="G149" i="2" s="1"/>
  <c r="F149" i="2"/>
  <c r="H149" i="2" s="1"/>
  <c r="E150" i="2"/>
  <c r="G150" i="2" s="1"/>
  <c r="F150" i="2"/>
  <c r="H150" i="2" s="1"/>
  <c r="E151" i="2"/>
  <c r="G151" i="2" s="1"/>
  <c r="I151" i="2" s="1"/>
  <c r="F151" i="2"/>
  <c r="H151" i="2"/>
  <c r="E152" i="2"/>
  <c r="G152" i="2" s="1"/>
  <c r="F152" i="2"/>
  <c r="H152" i="2" s="1"/>
  <c r="E153" i="2"/>
  <c r="F153" i="2"/>
  <c r="G153" i="2"/>
  <c r="H153" i="2"/>
  <c r="E154" i="2"/>
  <c r="G154" i="2" s="1"/>
  <c r="I154" i="2" s="1"/>
  <c r="F154" i="2"/>
  <c r="H154" i="2"/>
  <c r="E155" i="2"/>
  <c r="G155" i="2" s="1"/>
  <c r="F155" i="2"/>
  <c r="H155" i="2" s="1"/>
  <c r="E156" i="2"/>
  <c r="G156" i="2" s="1"/>
  <c r="F156" i="2"/>
  <c r="H156" i="2"/>
  <c r="I156" i="2"/>
  <c r="E157" i="2"/>
  <c r="G157" i="2" s="1"/>
  <c r="F157" i="2"/>
  <c r="H157" i="2"/>
  <c r="I157" i="2" s="1"/>
  <c r="E158" i="2"/>
  <c r="G158" i="2" s="1"/>
  <c r="I158" i="2" s="1"/>
  <c r="F158" i="2"/>
  <c r="H158" i="2" s="1"/>
  <c r="E159" i="2"/>
  <c r="G159" i="2" s="1"/>
  <c r="F159" i="2"/>
  <c r="H159" i="2" s="1"/>
  <c r="E160" i="2"/>
  <c r="G160" i="2" s="1"/>
  <c r="F160" i="2"/>
  <c r="H160" i="2" s="1"/>
  <c r="E161" i="2"/>
  <c r="G161" i="2" s="1"/>
  <c r="F161" i="2"/>
  <c r="H161" i="2" s="1"/>
  <c r="E162" i="2"/>
  <c r="G162" i="2" s="1"/>
  <c r="F162" i="2"/>
  <c r="H162" i="2" s="1"/>
  <c r="E163" i="2"/>
  <c r="F163" i="2"/>
  <c r="H163" i="2" s="1"/>
  <c r="G163" i="2"/>
  <c r="I163" i="2" s="1"/>
  <c r="E164" i="2"/>
  <c r="G164" i="2" s="1"/>
  <c r="F164" i="2"/>
  <c r="H164" i="2" s="1"/>
  <c r="E165" i="2"/>
  <c r="G165" i="2" s="1"/>
  <c r="F165" i="2"/>
  <c r="H165" i="2" s="1"/>
  <c r="E166" i="2"/>
  <c r="F166" i="2"/>
  <c r="G166" i="2"/>
  <c r="I166" i="2" s="1"/>
  <c r="H166" i="2"/>
  <c r="E167" i="2"/>
  <c r="G167" i="2" s="1"/>
  <c r="F167" i="2"/>
  <c r="H167" i="2" s="1"/>
  <c r="E168" i="2"/>
  <c r="G168" i="2" s="1"/>
  <c r="I168" i="2" s="1"/>
  <c r="F168" i="2"/>
  <c r="H168" i="2"/>
  <c r="E169" i="2"/>
  <c r="G169" i="2" s="1"/>
  <c r="I169" i="2" s="1"/>
  <c r="F169" i="2"/>
  <c r="H169" i="2" s="1"/>
  <c r="E170" i="2"/>
  <c r="G170" i="2" s="1"/>
  <c r="F170" i="2"/>
  <c r="H170" i="2" s="1"/>
  <c r="E171" i="2"/>
  <c r="G171" i="2" s="1"/>
  <c r="F171" i="2"/>
  <c r="H171" i="2" s="1"/>
  <c r="E172" i="2"/>
  <c r="G172" i="2" s="1"/>
  <c r="I172" i="2" s="1"/>
  <c r="F172" i="2"/>
  <c r="H172" i="2" s="1"/>
  <c r="E173" i="2"/>
  <c r="G173" i="2" s="1"/>
  <c r="F173" i="2"/>
  <c r="H173" i="2" s="1"/>
  <c r="E174" i="2"/>
  <c r="F174" i="2"/>
  <c r="H174" i="2" s="1"/>
  <c r="G174" i="2"/>
  <c r="I174" i="2" s="1"/>
  <c r="E175" i="2"/>
  <c r="F175" i="2"/>
  <c r="G175" i="2"/>
  <c r="I175" i="2" s="1"/>
  <c r="H175" i="2"/>
  <c r="E176" i="2"/>
  <c r="G176" i="2" s="1"/>
  <c r="F176" i="2"/>
  <c r="H176" i="2" s="1"/>
  <c r="E177" i="2"/>
  <c r="F177" i="2"/>
  <c r="H177" i="2" s="1"/>
  <c r="G177" i="2"/>
  <c r="I177" i="2" s="1"/>
  <c r="E178" i="2"/>
  <c r="G178" i="2" s="1"/>
  <c r="F178" i="2"/>
  <c r="H178" i="2" s="1"/>
  <c r="E179" i="2"/>
  <c r="G179" i="2" s="1"/>
  <c r="F179" i="2"/>
  <c r="H179" i="2"/>
  <c r="I179" i="2"/>
  <c r="E180" i="2"/>
  <c r="G180" i="2" s="1"/>
  <c r="I180" i="2" s="1"/>
  <c r="F180" i="2"/>
  <c r="H180" i="2" s="1"/>
  <c r="E181" i="2"/>
  <c r="G181" i="2" s="1"/>
  <c r="F181" i="2"/>
  <c r="H181" i="2" s="1"/>
  <c r="E182" i="2"/>
  <c r="G182" i="2" s="1"/>
  <c r="F182" i="2"/>
  <c r="H182" i="2" s="1"/>
  <c r="E183" i="2"/>
  <c r="G183" i="2" s="1"/>
  <c r="F183" i="2"/>
  <c r="H183" i="2" s="1"/>
  <c r="E184" i="2"/>
  <c r="G184" i="2" s="1"/>
  <c r="F184" i="2"/>
  <c r="H184" i="2" s="1"/>
  <c r="E185" i="2"/>
  <c r="F185" i="2"/>
  <c r="H185" i="2" s="1"/>
  <c r="G185" i="2"/>
  <c r="E186" i="2"/>
  <c r="G186" i="2" s="1"/>
  <c r="F186" i="2"/>
  <c r="H186" i="2" s="1"/>
  <c r="E187" i="2"/>
  <c r="G187" i="2" s="1"/>
  <c r="F187" i="2"/>
  <c r="H187" i="2" s="1"/>
  <c r="E188" i="2"/>
  <c r="G188" i="2" s="1"/>
  <c r="F188" i="2"/>
  <c r="H188" i="2" s="1"/>
  <c r="I188" i="2" s="1"/>
  <c r="E189" i="2"/>
  <c r="G189" i="2" s="1"/>
  <c r="F189" i="2"/>
  <c r="H189" i="2" s="1"/>
  <c r="E190" i="2"/>
  <c r="G190" i="2" s="1"/>
  <c r="F190" i="2"/>
  <c r="H190" i="2"/>
  <c r="E191" i="2"/>
  <c r="G191" i="2" s="1"/>
  <c r="F191" i="2"/>
  <c r="H191" i="2" s="1"/>
  <c r="E192" i="2"/>
  <c r="G192" i="2" s="1"/>
  <c r="I192" i="2" s="1"/>
  <c r="F192" i="2"/>
  <c r="H192" i="2" s="1"/>
  <c r="E193" i="2"/>
  <c r="G193" i="2" s="1"/>
  <c r="F193" i="2"/>
  <c r="H193" i="2" s="1"/>
  <c r="E194" i="2"/>
  <c r="G194" i="2" s="1"/>
  <c r="F194" i="2"/>
  <c r="H194" i="2" s="1"/>
  <c r="E195" i="2"/>
  <c r="G195" i="2" s="1"/>
  <c r="F195" i="2"/>
  <c r="H195" i="2" s="1"/>
  <c r="E196" i="2"/>
  <c r="G196" i="2" s="1"/>
  <c r="I196" i="2" s="1"/>
  <c r="F196" i="2"/>
  <c r="H196" i="2" s="1"/>
  <c r="E197" i="2"/>
  <c r="G197" i="2" s="1"/>
  <c r="I197" i="2" s="1"/>
  <c r="F197" i="2"/>
  <c r="H197" i="2"/>
  <c r="E198" i="2"/>
  <c r="G198" i="2" s="1"/>
  <c r="F198" i="2"/>
  <c r="H198" i="2" s="1"/>
  <c r="E199" i="2"/>
  <c r="F199" i="2"/>
  <c r="H199" i="2" s="1"/>
  <c r="G199" i="2"/>
  <c r="E200" i="2"/>
  <c r="G200" i="2" s="1"/>
  <c r="F200" i="2"/>
  <c r="H200" i="2"/>
  <c r="E201" i="2"/>
  <c r="G201" i="2" s="1"/>
  <c r="F201" i="2"/>
  <c r="H201" i="2" s="1"/>
  <c r="E202" i="2"/>
  <c r="G202" i="2" s="1"/>
  <c r="I202" i="2" s="1"/>
  <c r="F202" i="2"/>
  <c r="H202" i="2" s="1"/>
  <c r="E203" i="2"/>
  <c r="G203" i="2" s="1"/>
  <c r="F203" i="2"/>
  <c r="H203" i="2" s="1"/>
  <c r="E204" i="2"/>
  <c r="G204" i="2" s="1"/>
  <c r="F204" i="2"/>
  <c r="H204" i="2"/>
  <c r="E205" i="2"/>
  <c r="G205" i="2" s="1"/>
  <c r="F205" i="2"/>
  <c r="H205" i="2" s="1"/>
  <c r="E206" i="2"/>
  <c r="G206" i="2" s="1"/>
  <c r="F206" i="2"/>
  <c r="H206" i="2" s="1"/>
  <c r="E207" i="2"/>
  <c r="G207" i="2" s="1"/>
  <c r="I207" i="2" s="1"/>
  <c r="F207" i="2"/>
  <c r="H207" i="2" s="1"/>
  <c r="E208" i="2"/>
  <c r="F208" i="2"/>
  <c r="H208" i="2" s="1"/>
  <c r="I208" i="2" s="1"/>
  <c r="G208" i="2"/>
  <c r="E209" i="2"/>
  <c r="G209" i="2" s="1"/>
  <c r="F209" i="2"/>
  <c r="H209" i="2" s="1"/>
  <c r="E210" i="2"/>
  <c r="G210" i="2" s="1"/>
  <c r="F210" i="2"/>
  <c r="H210" i="2" s="1"/>
  <c r="I210" i="2" s="1"/>
  <c r="E211" i="2"/>
  <c r="G211" i="2" s="1"/>
  <c r="F211" i="2"/>
  <c r="H211" i="2"/>
  <c r="E212" i="2"/>
  <c r="F212" i="2"/>
  <c r="G212" i="2"/>
  <c r="I212" i="2" s="1"/>
  <c r="H212" i="2"/>
  <c r="E213" i="2"/>
  <c r="G213" i="2" s="1"/>
  <c r="I213" i="2" s="1"/>
  <c r="F213" i="2"/>
  <c r="H213" i="2" s="1"/>
  <c r="E214" i="2"/>
  <c r="G214" i="2" s="1"/>
  <c r="F214" i="2"/>
  <c r="H214" i="2" s="1"/>
  <c r="E215" i="2"/>
  <c r="G215" i="2" s="1"/>
  <c r="F215" i="2"/>
  <c r="H215" i="2" s="1"/>
  <c r="E216" i="2"/>
  <c r="G216" i="2" s="1"/>
  <c r="F216" i="2"/>
  <c r="H216" i="2" s="1"/>
  <c r="E217" i="2"/>
  <c r="G217" i="2" s="1"/>
  <c r="I217" i="2" s="1"/>
  <c r="F217" i="2"/>
  <c r="H217" i="2" s="1"/>
  <c r="F2" i="2"/>
  <c r="H2" i="2" s="1"/>
  <c r="E2" i="2"/>
  <c r="G2" i="2" s="1"/>
  <c r="L2" i="3" l="1"/>
  <c r="I6" i="3"/>
  <c r="L6" i="3"/>
  <c r="I10" i="3"/>
  <c r="I8" i="3"/>
  <c r="L10" i="3"/>
  <c r="L3" i="3"/>
  <c r="L7" i="3"/>
  <c r="I3" i="3"/>
  <c r="I7" i="3"/>
  <c r="L9" i="3"/>
  <c r="I4" i="3"/>
  <c r="I14" i="2"/>
  <c r="I173" i="2"/>
  <c r="I178" i="2"/>
  <c r="I32" i="2"/>
  <c r="I155" i="2"/>
  <c r="I186" i="2"/>
  <c r="I2" i="2"/>
  <c r="I199" i="2"/>
  <c r="I195" i="2"/>
  <c r="I25" i="2"/>
  <c r="I134" i="2"/>
  <c r="I201" i="2"/>
  <c r="I164" i="2"/>
  <c r="I65" i="2"/>
  <c r="I98" i="2"/>
  <c r="I144" i="2"/>
  <c r="I111" i="2"/>
  <c r="I52" i="2"/>
  <c r="I63" i="2"/>
  <c r="I185" i="2"/>
  <c r="I64" i="2"/>
  <c r="I24" i="2"/>
  <c r="I47" i="2"/>
  <c r="I209" i="2"/>
  <c r="I136" i="2"/>
  <c r="I90" i="2"/>
  <c r="I37" i="2"/>
  <c r="I27" i="2"/>
  <c r="I205" i="2"/>
  <c r="I191" i="2"/>
  <c r="I113" i="2"/>
  <c r="I110" i="2"/>
  <c r="I80" i="2"/>
  <c r="I184" i="2"/>
  <c r="I30" i="2"/>
  <c r="I135" i="2"/>
  <c r="I106" i="2"/>
  <c r="I33" i="2"/>
  <c r="I211" i="2"/>
  <c r="I204" i="2"/>
  <c r="I190" i="2"/>
  <c r="I170" i="2"/>
  <c r="I153" i="2"/>
  <c r="I112" i="2"/>
  <c r="I69" i="2"/>
  <c r="I49" i="2"/>
  <c r="I214" i="2"/>
  <c r="I194" i="2"/>
  <c r="I183" i="2"/>
  <c r="I145" i="2"/>
  <c r="I125" i="2"/>
  <c r="I102" i="2"/>
  <c r="I13" i="2"/>
  <c r="I198" i="2"/>
  <c r="I160" i="2"/>
  <c r="I132" i="2"/>
  <c r="I79" i="2"/>
  <c r="I66" i="2"/>
  <c r="I36" i="2"/>
  <c r="I200" i="2"/>
  <c r="I16" i="2"/>
  <c r="I176" i="2"/>
  <c r="I85" i="2"/>
  <c r="I58" i="2"/>
  <c r="I55" i="2"/>
  <c r="I22" i="2"/>
  <c r="I182" i="2"/>
  <c r="I162" i="2"/>
  <c r="I148" i="2"/>
  <c r="I124" i="2"/>
  <c r="I88" i="2"/>
  <c r="I3" i="2"/>
  <c r="I123" i="2"/>
  <c r="I167" i="2"/>
  <c r="I215" i="2"/>
  <c r="I189" i="2"/>
  <c r="I149" i="2"/>
  <c r="I206" i="2"/>
  <c r="I84" i="2"/>
  <c r="I93" i="2"/>
  <c r="I61" i="2"/>
  <c r="I17" i="2"/>
  <c r="I216" i="2"/>
  <c r="I187" i="2"/>
  <c r="I150" i="2"/>
  <c r="I126" i="2"/>
  <c r="I71" i="2"/>
  <c r="I39" i="2"/>
  <c r="I181" i="2"/>
  <c r="I105" i="2"/>
  <c r="I77" i="2"/>
  <c r="I161" i="2"/>
  <c r="I152" i="2"/>
  <c r="I117" i="2"/>
  <c r="I99" i="2"/>
  <c r="I86" i="2"/>
  <c r="I83" i="2"/>
  <c r="I11" i="2"/>
  <c r="I138" i="2"/>
  <c r="I116" i="2"/>
  <c r="I38" i="2"/>
  <c r="I4" i="2"/>
  <c r="I203" i="2"/>
  <c r="I128" i="2"/>
  <c r="I104" i="2"/>
  <c r="I73" i="2"/>
  <c r="I60" i="2"/>
  <c r="I44" i="2"/>
  <c r="I31" i="2"/>
  <c r="I28" i="2"/>
  <c r="I171" i="2"/>
  <c r="I50" i="2"/>
  <c r="I165" i="2"/>
  <c r="I127" i="2"/>
  <c r="I121" i="2"/>
  <c r="I72" i="2"/>
  <c r="I7" i="2"/>
  <c r="I159" i="2"/>
  <c r="I139" i="2"/>
  <c r="I94" i="2"/>
  <c r="I193" i="2"/>
  <c r="I40" i="2"/>
  <c r="I9" i="2"/>
  <c r="I6" i="2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F25" i="1"/>
  <c r="G25" i="1" s="1"/>
  <c r="E25" i="1"/>
  <c r="F24" i="1"/>
  <c r="G24" i="1" s="1"/>
  <c r="E24" i="1"/>
  <c r="G23" i="1"/>
  <c r="F23" i="1"/>
  <c r="E23" i="1"/>
  <c r="F22" i="1"/>
  <c r="G22" i="1" s="1"/>
  <c r="E22" i="1"/>
  <c r="F21" i="1"/>
  <c r="G21" i="1" s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F10" i="1"/>
  <c r="G10" i="1" s="1"/>
  <c r="E10" i="1"/>
  <c r="F9" i="1"/>
  <c r="G9" i="1" s="1"/>
  <c r="E9" i="1"/>
  <c r="F8" i="1"/>
  <c r="G8" i="1" s="1"/>
  <c r="E8" i="1"/>
  <c r="F7" i="1"/>
  <c r="G7" i="1" s="1"/>
  <c r="E7" i="1"/>
  <c r="F6" i="1"/>
  <c r="G6" i="1" s="1"/>
  <c r="E6" i="1"/>
  <c r="F5" i="1"/>
  <c r="G5" i="1" s="1"/>
  <c r="E5" i="1"/>
  <c r="F4" i="1"/>
  <c r="G4" i="1" s="1"/>
  <c r="E4" i="1"/>
  <c r="G3" i="1"/>
  <c r="F3" i="1"/>
  <c r="E3" i="1"/>
  <c r="F2" i="1"/>
  <c r="G2" i="1" s="1"/>
  <c r="E2" i="1"/>
</calcChain>
</file>

<file path=xl/sharedStrings.xml><?xml version="1.0" encoding="utf-8"?>
<sst xmlns="http://schemas.openxmlformats.org/spreadsheetml/2006/main" count="630" uniqueCount="385">
  <si>
    <t>Condition</t>
  </si>
  <si>
    <t>FDA area</t>
  </si>
  <si>
    <t>SAM deg area</t>
  </si>
  <si>
    <t>van area</t>
  </si>
  <si>
    <t>% SAM conversion</t>
  </si>
  <si>
    <t>FDA/van ratio</t>
  </si>
  <si>
    <t>FDA conc</t>
  </si>
  <si>
    <t>WT_37_10</t>
  </si>
  <si>
    <t>WT_37_30</t>
  </si>
  <si>
    <t>WT_37_60</t>
  </si>
  <si>
    <t>WT_42_10</t>
  </si>
  <si>
    <t>WT_42_30</t>
  </si>
  <si>
    <t>WT_42_60</t>
  </si>
  <si>
    <t>WT_47_10</t>
  </si>
  <si>
    <t>WT_47_30</t>
  </si>
  <si>
    <t>WT_47_60</t>
  </si>
  <si>
    <t>WT_52_10</t>
  </si>
  <si>
    <t>WT_52_30</t>
  </si>
  <si>
    <t>WT_52_60</t>
  </si>
  <si>
    <t>WT_57_10</t>
  </si>
  <si>
    <t>WT_57_30</t>
  </si>
  <si>
    <t>WT_57_60</t>
  </si>
  <si>
    <t>WT_62_10</t>
  </si>
  <si>
    <t>WT_62_30</t>
  </si>
  <si>
    <t>WT_62_60</t>
  </si>
  <si>
    <t>Temp</t>
  </si>
  <si>
    <t>Time</t>
  </si>
  <si>
    <t>% Rep2</t>
  </si>
  <si>
    <t>% Average</t>
  </si>
  <si>
    <t>% Rep1</t>
  </si>
  <si>
    <t>Conc Rep1</t>
  </si>
  <si>
    <t>Conc Rep2</t>
  </si>
  <si>
    <t>Conc Average</t>
  </si>
  <si>
    <t>WT_37_10-1</t>
  </si>
  <si>
    <t>WT_37_30-1</t>
  </si>
  <si>
    <t>WT_37_60-1</t>
  </si>
  <si>
    <t>WT_42_10-1</t>
  </si>
  <si>
    <t>WT_42_30-1</t>
  </si>
  <si>
    <t>WT_42_60-1</t>
  </si>
  <si>
    <t>WT_47_10-1</t>
  </si>
  <si>
    <t>WT_47_30-1</t>
  </si>
  <si>
    <t>WT_47_60-1</t>
  </si>
  <si>
    <t>WT_52_10-1</t>
  </si>
  <si>
    <t>WT_52_30-1</t>
  </si>
  <si>
    <t>WT_52_60-1</t>
  </si>
  <si>
    <t>S166A_37_10-1</t>
  </si>
  <si>
    <t>S166A_37_30-1</t>
  </si>
  <si>
    <t>S166A_37_60-1</t>
  </si>
  <si>
    <t>S166A_42_10-1</t>
  </si>
  <si>
    <t>S166A_42_30-1</t>
  </si>
  <si>
    <t>S166A_42_60-1</t>
  </si>
  <si>
    <t>S116A_47_10-1</t>
  </si>
  <si>
    <t>S116A_47_30-1</t>
  </si>
  <si>
    <t>S116A_47_60-1</t>
  </si>
  <si>
    <t>S116A_52_10-1</t>
  </si>
  <si>
    <t>S116A_52_30-1</t>
  </si>
  <si>
    <t>S116A_52_60-1</t>
  </si>
  <si>
    <t>H32L_37_10-1</t>
  </si>
  <si>
    <t>H32L_37_30-1</t>
  </si>
  <si>
    <t>H32L_37_60-1</t>
  </si>
  <si>
    <t>H32L_42_10-1</t>
  </si>
  <si>
    <t>H32L_42_30-1</t>
  </si>
  <si>
    <t>H32L_42_60-1</t>
  </si>
  <si>
    <t>H32L_47_10-1</t>
  </si>
  <si>
    <t>H32L_47_30-1</t>
  </si>
  <si>
    <t>H32L_47_60-1</t>
  </si>
  <si>
    <t>H32L_52_10-1</t>
  </si>
  <si>
    <t>H32L_52_30-1</t>
  </si>
  <si>
    <t>H32L_52_60-1</t>
  </si>
  <si>
    <t>G37D_37_10-1</t>
  </si>
  <si>
    <t>G37D_37_30-1</t>
  </si>
  <si>
    <t>G37D_37_60-1</t>
  </si>
  <si>
    <t>G37D_42_10-1</t>
  </si>
  <si>
    <t>G37D_42_30-1</t>
  </si>
  <si>
    <t>G37D_42_60-1</t>
  </si>
  <si>
    <t>G37D_47_10-1</t>
  </si>
  <si>
    <t>G37D_47_30-1</t>
  </si>
  <si>
    <t>G37D_47_60-1</t>
  </si>
  <si>
    <t>G37D_52_10-1</t>
  </si>
  <si>
    <t>G37D_52_30-1</t>
  </si>
  <si>
    <t>G37D_52_60-1</t>
  </si>
  <si>
    <t>H191E_37_10-1</t>
  </si>
  <si>
    <t>H191E_37_30-1</t>
  </si>
  <si>
    <t>H191E_37_60-1</t>
  </si>
  <si>
    <t>H191E_42_10-1</t>
  </si>
  <si>
    <t>H191E_42_30-1</t>
  </si>
  <si>
    <t>H191E_42_60-1</t>
  </si>
  <si>
    <t>H191E_47_10-1</t>
  </si>
  <si>
    <t>H191E_47_30-1</t>
  </si>
  <si>
    <t>H191E_47_60-1</t>
  </si>
  <si>
    <t>H191E_52_10-1</t>
  </si>
  <si>
    <t>H191E_52_30-1</t>
  </si>
  <si>
    <t>H191E_52_60-1</t>
  </si>
  <si>
    <t>K237R_37_10-1</t>
  </si>
  <si>
    <t>K237R_37_30-1</t>
  </si>
  <si>
    <t>K237R_37_60-1</t>
  </si>
  <si>
    <t>K237R_42_10-1</t>
  </si>
  <si>
    <t>K237R_42_30-1</t>
  </si>
  <si>
    <t>K237R_42_60-1</t>
  </si>
  <si>
    <t>K237R_47_10-1</t>
  </si>
  <si>
    <t>K237R_47_30-1</t>
  </si>
  <si>
    <t>K237R_47_60-1</t>
  </si>
  <si>
    <t>K237R_52_10-1</t>
  </si>
  <si>
    <t>K237R_52_30-1</t>
  </si>
  <si>
    <t>K237R_52_60-1</t>
  </si>
  <si>
    <t>WT_37_10-2</t>
  </si>
  <si>
    <t>WT_37_30-2</t>
  </si>
  <si>
    <t>WT_37_60-2</t>
  </si>
  <si>
    <t>WT_42_10-2</t>
  </si>
  <si>
    <t>WT_42_30-2</t>
  </si>
  <si>
    <t>WT_42_60-2</t>
  </si>
  <si>
    <t>WT_57_10-1</t>
  </si>
  <si>
    <t>WT_57_30-1</t>
  </si>
  <si>
    <t>WT_57_60-1</t>
  </si>
  <si>
    <t>WT_62_10-1</t>
  </si>
  <si>
    <t>WT_62_30-1</t>
  </si>
  <si>
    <t>WT_62_60-1</t>
  </si>
  <si>
    <t>S166A_37_10-2</t>
  </si>
  <si>
    <t>S166A_37_30-2</t>
  </si>
  <si>
    <t>S166A_37_60-2</t>
  </si>
  <si>
    <t>S166A_42_10-2</t>
  </si>
  <si>
    <t>S166A_42_30-2</t>
  </si>
  <si>
    <t>S166A_42_60-2</t>
  </si>
  <si>
    <t>S116A_57_10-1</t>
  </si>
  <si>
    <t>S116A_57_30-1</t>
  </si>
  <si>
    <t>S116A_57_60-1</t>
  </si>
  <si>
    <t>S116A_62_10-1</t>
  </si>
  <si>
    <t>S116A_62_30-1</t>
  </si>
  <si>
    <t>S116A_62_60-1</t>
  </si>
  <si>
    <t>H32L_37_10-2</t>
  </si>
  <si>
    <t>H32L_37_30-2</t>
  </si>
  <si>
    <t>H32L_37_60-2</t>
  </si>
  <si>
    <t>H32L_42_10-2</t>
  </si>
  <si>
    <t>H32L_42_30-2</t>
  </si>
  <si>
    <t>H32L_42_60-2</t>
  </si>
  <si>
    <t>H32L_57_10-1</t>
  </si>
  <si>
    <t>H32L_57_30-1</t>
  </si>
  <si>
    <t>H32L_57_60-1</t>
  </si>
  <si>
    <t>H32L_62_10-1</t>
  </si>
  <si>
    <t>H32L_62_30-1</t>
  </si>
  <si>
    <t>H32L_62_60-1</t>
  </si>
  <si>
    <t>G37D_37_10-2</t>
  </si>
  <si>
    <t>G37D_37_30-2</t>
  </si>
  <si>
    <t>G37D_37_60-2</t>
  </si>
  <si>
    <t>G37D_42_10-2</t>
  </si>
  <si>
    <t>G37D_42_30-2</t>
  </si>
  <si>
    <t>G37D_42_60-2</t>
  </si>
  <si>
    <t>G37D_57_10-1</t>
  </si>
  <si>
    <t>G37D_57_30-1</t>
  </si>
  <si>
    <t>G37D_57_60-1</t>
  </si>
  <si>
    <t>G37D_62_10-1</t>
  </si>
  <si>
    <t>G37D_62_30-1</t>
  </si>
  <si>
    <t>G37D_62_60-1</t>
  </si>
  <si>
    <t>H191E_37_10-2</t>
  </si>
  <si>
    <t>H191E_37_30-2</t>
  </si>
  <si>
    <t>H191E_37_60-2</t>
  </si>
  <si>
    <t>H191E_42_10-2</t>
  </si>
  <si>
    <t>H191E_42_30-2</t>
  </si>
  <si>
    <t>H191E_42_60-2</t>
  </si>
  <si>
    <t>H191E_57_10-1</t>
  </si>
  <si>
    <t>H191E_57_30-1</t>
  </si>
  <si>
    <t>H191E_57_60-1</t>
  </si>
  <si>
    <t>H191E_62_10-1</t>
  </si>
  <si>
    <t>H191E_62_30-1</t>
  </si>
  <si>
    <t>H191E_62_60-1</t>
  </si>
  <si>
    <t>K237R_37_10-2</t>
  </si>
  <si>
    <t>K237R_37_30-2</t>
  </si>
  <si>
    <t>K237R_37_60-2</t>
  </si>
  <si>
    <t>K237R_42_10-2</t>
  </si>
  <si>
    <t>K237R_42_30-2</t>
  </si>
  <si>
    <t>K237R_42_60-2</t>
  </si>
  <si>
    <t>K237R_57_10-1</t>
  </si>
  <si>
    <t>K237R_57_30-1</t>
  </si>
  <si>
    <t>K237R_57_60-1</t>
  </si>
  <si>
    <t>K237R_62_10-1</t>
  </si>
  <si>
    <t>K237R_62_30-1</t>
  </si>
  <si>
    <t>K237R_62_60-1</t>
  </si>
  <si>
    <t>WT_47_10-2</t>
  </si>
  <si>
    <t>WT_47_30-2</t>
  </si>
  <si>
    <t>WT_47_60-2</t>
  </si>
  <si>
    <t>WT_52_10-2</t>
  </si>
  <si>
    <t>WT_52_30-2</t>
  </si>
  <si>
    <t>WT_52_60-2</t>
  </si>
  <si>
    <t>WT_57_10-2</t>
  </si>
  <si>
    <t>WT_57_30-2</t>
  </si>
  <si>
    <t>WT_57_60-2</t>
  </si>
  <si>
    <t>WT_62_10-2</t>
  </si>
  <si>
    <t>WT_62_30-2</t>
  </si>
  <si>
    <t>WT_62_60-2</t>
  </si>
  <si>
    <t>S116A_47_10-2</t>
  </si>
  <si>
    <t>S116A_47_30-2</t>
  </si>
  <si>
    <t>S116A_47_60-2</t>
  </si>
  <si>
    <t>S116A_52_10-2</t>
  </si>
  <si>
    <t>S116A_52_30-2</t>
  </si>
  <si>
    <t>S116A_52_60-2</t>
  </si>
  <si>
    <t>S116A_57_10-2</t>
  </si>
  <si>
    <t>S116A_57_30-2</t>
  </si>
  <si>
    <t>S116A_57_60-2</t>
  </si>
  <si>
    <t>S116A_62_10-2</t>
  </si>
  <si>
    <t>S116A_62_30-2</t>
  </si>
  <si>
    <t>S116A_62_60-2</t>
  </si>
  <si>
    <t>H32L_47_10-2</t>
  </si>
  <si>
    <t>H32L_47_30-2</t>
  </si>
  <si>
    <t>H32L_47_60-2</t>
  </si>
  <si>
    <t>H32L_52_10-2</t>
  </si>
  <si>
    <t>H32L_52_30-2</t>
  </si>
  <si>
    <t>H32L_52_60-2</t>
  </si>
  <si>
    <t>H32L_57_10-2</t>
  </si>
  <si>
    <t>H32L_57_30-2</t>
  </si>
  <si>
    <t>H32L_57_60-2</t>
  </si>
  <si>
    <t>H32L_62_10-2</t>
  </si>
  <si>
    <t>H32L_62_30-2</t>
  </si>
  <si>
    <t>H32L_62_60-2</t>
  </si>
  <si>
    <t>G37D_47_10-2</t>
  </si>
  <si>
    <t>G37D_47_30-2</t>
  </si>
  <si>
    <t>G37D_47_60-2</t>
  </si>
  <si>
    <t>G37D_52_10-2</t>
  </si>
  <si>
    <t>G37D_52_30-2</t>
  </si>
  <si>
    <t>G37D_52_60-2</t>
  </si>
  <si>
    <t>G37D_57_10-2</t>
  </si>
  <si>
    <t>G37D_57_30-2</t>
  </si>
  <si>
    <t>G37D_57_60-2</t>
  </si>
  <si>
    <t>G37D_62_10-2</t>
  </si>
  <si>
    <t>G37D_62_30-2</t>
  </si>
  <si>
    <t>G37D_62_60-2</t>
  </si>
  <si>
    <t>H191E_47_10-2</t>
  </si>
  <si>
    <t>H191E_47_30-2</t>
  </si>
  <si>
    <t>H191E_47_60-2</t>
  </si>
  <si>
    <t>H191E_52_10-2</t>
  </si>
  <si>
    <t>H191E_52_30-2</t>
  </si>
  <si>
    <t>H191E_52_60-2</t>
  </si>
  <si>
    <t>H191E_57_10-2</t>
  </si>
  <si>
    <t>H191E_57_30-2</t>
  </si>
  <si>
    <t>H191E_57_60-2</t>
  </si>
  <si>
    <t>H191E_62_10-2</t>
  </si>
  <si>
    <t>H191E_62_30-2</t>
  </si>
  <si>
    <t>H191E_62_60-2</t>
  </si>
  <si>
    <t>K237R_47_10-2</t>
  </si>
  <si>
    <t>K237R_47_30-2</t>
  </si>
  <si>
    <t>K237R_47_60-2</t>
  </si>
  <si>
    <t>K237R_52_10-2</t>
  </si>
  <si>
    <t>K237R_52_30-2</t>
  </si>
  <si>
    <t>K237R_52_60-2</t>
  </si>
  <si>
    <t>K237R_57_10-2</t>
  </si>
  <si>
    <t>K237R_57_30-2</t>
  </si>
  <si>
    <t>K237R_57_60-2</t>
  </si>
  <si>
    <t>K237R_62_10-2</t>
  </si>
  <si>
    <t>K237R_62_30-2</t>
  </si>
  <si>
    <t>K237R_62_60-2</t>
  </si>
  <si>
    <t>SAM/van ratio</t>
  </si>
  <si>
    <t>SAM conc</t>
  </si>
  <si>
    <t>% SAM conv</t>
  </si>
  <si>
    <t>FDA conc (no van)</t>
  </si>
  <si>
    <t>SAM conc (no van)</t>
  </si>
  <si>
    <t>% SAM conv no van</t>
  </si>
  <si>
    <t>WT_37_10-1-redo</t>
  </si>
  <si>
    <t>WT_37_30-1-redo</t>
  </si>
  <si>
    <t>WT_37_60-1-redo</t>
  </si>
  <si>
    <t>WT_52_10-1-redo</t>
  </si>
  <si>
    <t>WT_52_30-1-redo</t>
  </si>
  <si>
    <t>WT_52_60-1-redo</t>
  </si>
  <si>
    <t>FDA/SAM ratio</t>
  </si>
  <si>
    <t xml:space="preserve">% SAM chris way </t>
  </si>
  <si>
    <t>FDA conc (no van, new)</t>
  </si>
  <si>
    <t>% SAM conv new</t>
  </si>
  <si>
    <t>WT_57_10-3</t>
  </si>
  <si>
    <t>WT_57_30-3</t>
  </si>
  <si>
    <t>WT_57_60-3</t>
  </si>
  <si>
    <t>WT_62_10-3</t>
  </si>
  <si>
    <t>WT_62_30-3</t>
  </si>
  <si>
    <t>WT_62_60-3</t>
  </si>
  <si>
    <t>S116A_57_10-3</t>
  </si>
  <si>
    <t>S116A_57_30-3</t>
  </si>
  <si>
    <t>S116A_57_60-3</t>
  </si>
  <si>
    <t>S116A_62_10-3</t>
  </si>
  <si>
    <t>S116A_62_30-3</t>
  </si>
  <si>
    <t>S116A_62_60-3</t>
  </si>
  <si>
    <t>H32L_57_10-3</t>
  </si>
  <si>
    <t>H32L_57_30-3</t>
  </si>
  <si>
    <t>H32L_57_60-3</t>
  </si>
  <si>
    <t>H32L_62_10-3</t>
  </si>
  <si>
    <t>H32L_62_30-3</t>
  </si>
  <si>
    <t>H32L_62_60-3</t>
  </si>
  <si>
    <t>G37D_57_10-3</t>
  </si>
  <si>
    <t>G37D_57_30-3</t>
  </si>
  <si>
    <t>G37D_57_60-3</t>
  </si>
  <si>
    <t>G37D_62_10-3</t>
  </si>
  <si>
    <t>G37D_62_30-3</t>
  </si>
  <si>
    <t>G37D_62_60-3</t>
  </si>
  <si>
    <t>H191E_57_10-3</t>
  </si>
  <si>
    <t>H191E_57_30-3</t>
  </si>
  <si>
    <t>H191E_57_60-3</t>
  </si>
  <si>
    <t>H191E_62_10-3</t>
  </si>
  <si>
    <t>H191E_62_30-3</t>
  </si>
  <si>
    <t>H191E_62_60-3</t>
  </si>
  <si>
    <t>K237R_57_10-3</t>
  </si>
  <si>
    <t>K237R_57_30-3</t>
  </si>
  <si>
    <t>K237R_57_60-3</t>
  </si>
  <si>
    <t>K237R_62_10-3</t>
  </si>
  <si>
    <t>K237R_62_30-3</t>
  </si>
  <si>
    <t>K237R_62_60-3</t>
  </si>
  <si>
    <t>WT_37_10-3</t>
  </si>
  <si>
    <t>WT_37_30-3</t>
  </si>
  <si>
    <t>WT_37_60-3</t>
  </si>
  <si>
    <t>WT_42_10-3</t>
  </si>
  <si>
    <t>WT_42_30-3</t>
  </si>
  <si>
    <t>WT_42_60-3</t>
  </si>
  <si>
    <t>WT_47_10-3</t>
  </si>
  <si>
    <t>WT_47_30-3</t>
  </si>
  <si>
    <t>WT_47_60-3</t>
  </si>
  <si>
    <t>WT_52_10-3</t>
  </si>
  <si>
    <t>WT_52_30-3</t>
  </si>
  <si>
    <t>WT_52_60-3</t>
  </si>
  <si>
    <t>S166A_37_10-3</t>
  </si>
  <si>
    <t>S166A_37_30-3</t>
  </si>
  <si>
    <t>S166A_37_60-3</t>
  </si>
  <si>
    <t>S166A_42_10-3</t>
  </si>
  <si>
    <t>S166A_42_30-3</t>
  </si>
  <si>
    <t>S166A_42_60-3</t>
  </si>
  <si>
    <t>S116A_47_10-3</t>
  </si>
  <si>
    <t>S116A_47_30-3</t>
  </si>
  <si>
    <t>S116A_47_60-3</t>
  </si>
  <si>
    <t>S116A_52_10-3</t>
  </si>
  <si>
    <t>S116A_52_30-3</t>
  </si>
  <si>
    <t>S116A_52_60-3</t>
  </si>
  <si>
    <t>H32L_37_10-3</t>
  </si>
  <si>
    <t>H32L_37_30-3</t>
  </si>
  <si>
    <t>H32L_37_60-3</t>
  </si>
  <si>
    <t>H32L_42_10-3</t>
  </si>
  <si>
    <t>H32L_42_30-3</t>
  </si>
  <si>
    <t>H32L_42_60-3</t>
  </si>
  <si>
    <t>H32L_47_10-3</t>
  </si>
  <si>
    <t>H32L_47_30-3</t>
  </si>
  <si>
    <t>H32L_47_60-3</t>
  </si>
  <si>
    <t>H32L_52_10-3</t>
  </si>
  <si>
    <t>H32L_52_30-3</t>
  </si>
  <si>
    <t>H32L_52_60-3</t>
  </si>
  <si>
    <t>G37D_37_10-3</t>
  </si>
  <si>
    <t>G37D_37_30-3</t>
  </si>
  <si>
    <t>G37D_37_60-3</t>
  </si>
  <si>
    <t>G37D_42_10-3</t>
  </si>
  <si>
    <t>G37D_42_30-3</t>
  </si>
  <si>
    <t>G37D_42_60-3</t>
  </si>
  <si>
    <t>G37D_47_10-3</t>
  </si>
  <si>
    <t>G37D_47_30-3</t>
  </si>
  <si>
    <t>G37D_47_60-3</t>
  </si>
  <si>
    <t>G37D_52_10-3</t>
  </si>
  <si>
    <t>G37D_52_30-3</t>
  </si>
  <si>
    <t>G37D_52_60-3</t>
  </si>
  <si>
    <t>H191E_37_10-3</t>
  </si>
  <si>
    <t>H191E_37_30-3</t>
  </si>
  <si>
    <t>H191E_37_60-3</t>
  </si>
  <si>
    <t>H191E_42_10-3</t>
  </si>
  <si>
    <t>H191E_42_30-3</t>
  </si>
  <si>
    <t>H191E_42_60-3</t>
  </si>
  <si>
    <t>H191E_47_10-3</t>
  </si>
  <si>
    <t>H191E_47_30-3</t>
  </si>
  <si>
    <t>H191E_47_60-3</t>
  </si>
  <si>
    <t>H191E_52_10-3</t>
  </si>
  <si>
    <t>H191E_52_30-3</t>
  </si>
  <si>
    <t>H191E_52_60-3</t>
  </si>
  <si>
    <t>K237R_37_10-3</t>
  </si>
  <si>
    <t>K237R_37_30-3</t>
  </si>
  <si>
    <t>K237R_37_60-3</t>
  </si>
  <si>
    <t>K237R_42_10-3</t>
  </si>
  <si>
    <t>K237R_42_30-3</t>
  </si>
  <si>
    <t>K237R_42_60-3</t>
  </si>
  <si>
    <t>K237R_47_10-3</t>
  </si>
  <si>
    <t>K237R_47_30-3</t>
  </si>
  <si>
    <t>K237R_47_60-3</t>
  </si>
  <si>
    <t>K237R_52_10-3</t>
  </si>
  <si>
    <t>K237R_52_30-3</t>
  </si>
  <si>
    <t>K237R_52_60-3</t>
  </si>
  <si>
    <t>S166A_47_10-1</t>
  </si>
  <si>
    <t>S166A_47_30-1</t>
  </si>
  <si>
    <t>S166A_47_60-1</t>
  </si>
  <si>
    <t>S166A_52_10-1</t>
  </si>
  <si>
    <t>S166A_52_30-1</t>
  </si>
  <si>
    <t>S166A_52_60-1</t>
  </si>
  <si>
    <t>S166A_57_10-1</t>
  </si>
  <si>
    <t>S166A_57_30-1</t>
  </si>
  <si>
    <t>S166A_57_60-1</t>
  </si>
  <si>
    <t>S166A_62_10-1</t>
  </si>
  <si>
    <t>S166A_62_30-1</t>
  </si>
  <si>
    <t>S166A_62_60-1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</si>
</sst>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Aptos Narrow"/>
      <scheme val="minor"/>
    </font>
    <font>
      <i/>
      <sz val="12"/>
      <color rgb="FFFF0000"/>
      <name val="Calibri"/>
      <family val="2"/>
    </font>
    <font>
      <i/>
      <sz val="12"/>
      <color rgb="FFFF0000"/>
      <name val="Aptos Narrow"/>
      <family val="2"/>
      <scheme val="minor"/>
    </font>
    <font>
      <i/>
      <sz val="12"/>
      <color rgb="FFFF0000"/>
      <name val="Aptos Narrow"/>
      <scheme val="minor"/>
    </font>
    <font>
      <sz val="12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name val="Aptos Narrow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2" fontId="6" fillId="0" borderId="0" xfId="0" applyNumberFormat="1" applyFont="1"/>
    <xf numFmtId="164" fontId="7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2" fontId="8" fillId="0" borderId="0" xfId="0" applyNumberFormat="1" applyFont="1"/>
    <xf numFmtId="164" fontId="8" fillId="0" borderId="0" xfId="0" applyNumberFormat="1" applyFont="1"/>
    <xf numFmtId="165" fontId="3" fillId="0" borderId="0" xfId="0" applyNumberFormat="1" applyFont="1"/>
    <xf numFmtId="0" fontId="3" fillId="0" borderId="0" xfId="0" applyFont="1"/>
    <xf numFmtId="165" fontId="1" fillId="0" borderId="0" xfId="0" applyNumberFormat="1" applyFont="1"/>
    <xf numFmtId="0" fontId="1" fillId="2" borderId="0" xfId="0" applyFont="1" applyFill="1"/>
    <xf numFmtId="164" fontId="8" fillId="2" borderId="0" xfId="0" applyNumberFormat="1" applyFont="1" applyFill="1"/>
    <xf numFmtId="164" fontId="0" fillId="2" borderId="0" xfId="0" applyNumberFormat="1" applyFill="1"/>
    <xf numFmtId="0" fontId="0" fillId="2" borderId="0" xfId="0" applyFill="1"/>
    <xf numFmtId="0" fontId="1" fillId="3" borderId="0" xfId="0" applyFont="1" applyFill="1"/>
    <xf numFmtId="165" fontId="8" fillId="3" borderId="0" xfId="0" applyNumberFormat="1" applyFont="1" applyFill="1"/>
    <xf numFmtId="0" fontId="0" fillId="3" borderId="0" xfId="0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4790-0665-DC44-A569-0A528EBE2685}">
  <dimension ref="A1:P85"/>
  <sheetViews>
    <sheetView workbookViewId="0">
      <selection activeCell="L8" sqref="L8"/>
    </sheetView>
  </sheetViews>
  <sheetFormatPr baseColWidth="10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25</v>
      </c>
      <c r="J1" s="1" t="s">
        <v>26</v>
      </c>
      <c r="K1" s="1" t="s">
        <v>29</v>
      </c>
      <c r="L1" s="1" t="s">
        <v>27</v>
      </c>
      <c r="M1" s="1" t="s">
        <v>28</v>
      </c>
      <c r="N1" s="1" t="s">
        <v>30</v>
      </c>
      <c r="O1" s="1" t="s">
        <v>31</v>
      </c>
      <c r="P1" s="1" t="s">
        <v>32</v>
      </c>
    </row>
    <row r="2" spans="1:16">
      <c r="A2" s="2" t="s">
        <v>7</v>
      </c>
      <c r="B2">
        <v>0.64510000000000001</v>
      </c>
      <c r="C2">
        <v>12.2121</v>
      </c>
      <c r="D2">
        <v>4.2733999999999996</v>
      </c>
      <c r="E2" s="3">
        <f>B2/(B2+C2)*100</f>
        <v>5.0174221447904683</v>
      </c>
      <c r="F2" s="4">
        <f>B2/D2</f>
        <v>0.15095708335283381</v>
      </c>
      <c r="G2" s="5">
        <f>F2*44.823</f>
        <v>6.7663493471240699</v>
      </c>
      <c r="I2">
        <v>37</v>
      </c>
      <c r="J2">
        <v>10</v>
      </c>
      <c r="K2">
        <v>5.0174221447904683</v>
      </c>
      <c r="L2">
        <v>6.5217391304347823</v>
      </c>
      <c r="M2">
        <f>AVERAGE(K2:L2)</f>
        <v>5.7695806376126253</v>
      </c>
      <c r="N2">
        <v>6.7663493471240699</v>
      </c>
      <c r="O2">
        <v>10.594083634384123</v>
      </c>
      <c r="P2">
        <f>AVERAGE(N2:O2)</f>
        <v>8.6802164907540966</v>
      </c>
    </row>
    <row r="3" spans="1:16">
      <c r="A3" s="2" t="s">
        <v>8</v>
      </c>
      <c r="B3">
        <v>1.3734999999999999</v>
      </c>
      <c r="C3">
        <v>7.8699000000000003</v>
      </c>
      <c r="D3">
        <v>2.9771000000000001</v>
      </c>
      <c r="E3" s="3">
        <f t="shared" ref="E3:E13" si="0">B3/(B3+C3)*100</f>
        <v>14.859250924984311</v>
      </c>
      <c r="F3" s="4">
        <f t="shared" ref="F3:F13" si="1">B3/D3</f>
        <v>0.46135500990897177</v>
      </c>
      <c r="G3" s="5">
        <f t="shared" ref="G3:G13" si="2">F3*44.823</f>
        <v>20.679315609149842</v>
      </c>
      <c r="I3">
        <v>37</v>
      </c>
      <c r="J3">
        <v>30</v>
      </c>
      <c r="K3">
        <v>14.859250924984311</v>
      </c>
      <c r="L3">
        <v>14.044826141600335</v>
      </c>
      <c r="M3">
        <f t="shared" ref="M3:M19" si="3">AVERAGE(K3:L3)</f>
        <v>14.452038533292324</v>
      </c>
      <c r="N3">
        <v>20.679315609149842</v>
      </c>
      <c r="O3">
        <v>23.181546630671065</v>
      </c>
      <c r="P3">
        <f t="shared" ref="P3:P19" si="4">AVERAGE(N3:O3)</f>
        <v>21.930431119910452</v>
      </c>
    </row>
    <row r="4" spans="1:16">
      <c r="A4" s="2" t="s">
        <v>9</v>
      </c>
      <c r="B4">
        <v>2.0078999999999998</v>
      </c>
      <c r="C4">
        <v>7.0076999999999998</v>
      </c>
      <c r="D4">
        <v>2.8308</v>
      </c>
      <c r="E4" s="3">
        <f t="shared" si="0"/>
        <v>22.271396246506058</v>
      </c>
      <c r="F4" s="4">
        <f t="shared" si="1"/>
        <v>0.70930479016532422</v>
      </c>
      <c r="G4" s="5">
        <f t="shared" si="2"/>
        <v>31.793168609580327</v>
      </c>
      <c r="I4">
        <v>37</v>
      </c>
      <c r="J4">
        <v>60</v>
      </c>
      <c r="K4">
        <v>22.271396246506058</v>
      </c>
      <c r="L4">
        <v>20.891121441469132</v>
      </c>
      <c r="M4">
        <f t="shared" si="3"/>
        <v>21.581258843987595</v>
      </c>
      <c r="N4">
        <v>31.793168609580327</v>
      </c>
      <c r="O4">
        <v>35.242375397628685</v>
      </c>
      <c r="P4">
        <f t="shared" si="4"/>
        <v>33.517772003604506</v>
      </c>
    </row>
    <row r="5" spans="1:16">
      <c r="A5" s="2" t="s">
        <v>10</v>
      </c>
      <c r="B5">
        <v>0.82099999999999995</v>
      </c>
      <c r="C5">
        <v>7.7751999999999999</v>
      </c>
      <c r="D5">
        <v>2.7517999999999998</v>
      </c>
      <c r="E5" s="3">
        <f t="shared" si="0"/>
        <v>9.5507317186663876</v>
      </c>
      <c r="F5" s="4">
        <f t="shared" si="1"/>
        <v>0.29835017079729631</v>
      </c>
      <c r="G5" s="5">
        <f t="shared" si="2"/>
        <v>13.372949705647212</v>
      </c>
      <c r="I5">
        <v>42</v>
      </c>
      <c r="J5">
        <v>10</v>
      </c>
      <c r="K5">
        <v>9.5507317186663876</v>
      </c>
      <c r="L5">
        <v>8.5930993722631666</v>
      </c>
      <c r="M5">
        <f t="shared" si="3"/>
        <v>9.0719155454647762</v>
      </c>
      <c r="N5">
        <v>13.372949705647212</v>
      </c>
      <c r="O5">
        <v>14.328309004297278</v>
      </c>
      <c r="P5">
        <f t="shared" si="4"/>
        <v>13.850629354972245</v>
      </c>
    </row>
    <row r="6" spans="1:16">
      <c r="A6" s="2" t="s">
        <v>11</v>
      </c>
      <c r="B6">
        <v>1.6597999999999999</v>
      </c>
      <c r="C6">
        <v>6.9988999999999999</v>
      </c>
      <c r="D6">
        <v>2.6977000000000002</v>
      </c>
      <c r="E6" s="3">
        <f t="shared" si="0"/>
        <v>19.169159342626489</v>
      </c>
      <c r="F6" s="4">
        <f t="shared" si="1"/>
        <v>0.6152648552470622</v>
      </c>
      <c r="G6" s="5">
        <f t="shared" si="2"/>
        <v>27.57801660673907</v>
      </c>
      <c r="I6">
        <v>42</v>
      </c>
      <c r="J6">
        <v>30</v>
      </c>
      <c r="K6">
        <v>19.169159342626489</v>
      </c>
      <c r="L6">
        <v>17.455918144340139</v>
      </c>
      <c r="M6">
        <f t="shared" si="3"/>
        <v>18.312538743483316</v>
      </c>
      <c r="N6">
        <v>27.57801660673907</v>
      </c>
      <c r="O6">
        <v>29.16283160545024</v>
      </c>
      <c r="P6">
        <f t="shared" si="4"/>
        <v>28.370424106094653</v>
      </c>
    </row>
    <row r="7" spans="1:16">
      <c r="A7" s="2" t="s">
        <v>12</v>
      </c>
      <c r="B7">
        <v>2.0815999999999999</v>
      </c>
      <c r="C7">
        <v>6.6142000000000003</v>
      </c>
      <c r="D7">
        <v>2.7669000000000001</v>
      </c>
      <c r="E7" s="3">
        <f t="shared" si="0"/>
        <v>23.937993054118078</v>
      </c>
      <c r="F7" s="4">
        <f t="shared" si="1"/>
        <v>0.75232209331743094</v>
      </c>
      <c r="G7" s="5">
        <f t="shared" si="2"/>
        <v>33.721333188767204</v>
      </c>
      <c r="I7">
        <v>42</v>
      </c>
      <c r="J7">
        <v>60</v>
      </c>
      <c r="K7">
        <v>23.937993054118078</v>
      </c>
      <c r="L7">
        <v>23.958207269353345</v>
      </c>
      <c r="M7">
        <f t="shared" si="3"/>
        <v>23.948100161735709</v>
      </c>
      <c r="N7">
        <v>33.721333188767204</v>
      </c>
      <c r="O7">
        <v>39.849376445492311</v>
      </c>
      <c r="P7">
        <f t="shared" si="4"/>
        <v>36.785354817129758</v>
      </c>
    </row>
    <row r="8" spans="1:16">
      <c r="A8" s="2" t="s">
        <v>13</v>
      </c>
      <c r="B8">
        <v>0.81330000000000002</v>
      </c>
      <c r="C8">
        <v>6.1433</v>
      </c>
      <c r="D8">
        <v>2.1791</v>
      </c>
      <c r="E8" s="3">
        <f t="shared" si="0"/>
        <v>11.691055975620275</v>
      </c>
      <c r="F8" s="4">
        <f t="shared" si="1"/>
        <v>0.37322747923454636</v>
      </c>
      <c r="G8" s="5">
        <f t="shared" si="2"/>
        <v>16.72917530173007</v>
      </c>
      <c r="I8">
        <v>47</v>
      </c>
      <c r="J8">
        <v>10</v>
      </c>
      <c r="K8">
        <v>11.691055975620275</v>
      </c>
      <c r="M8">
        <f t="shared" si="3"/>
        <v>11.691055975620275</v>
      </c>
      <c r="N8">
        <v>16.72917530173007</v>
      </c>
      <c r="P8">
        <f t="shared" si="4"/>
        <v>16.72917530173007</v>
      </c>
    </row>
    <row r="9" spans="1:16">
      <c r="A9" s="2" t="s">
        <v>14</v>
      </c>
      <c r="B9">
        <v>1.4207000000000001</v>
      </c>
      <c r="C9">
        <v>5.1776999999999997</v>
      </c>
      <c r="D9">
        <v>2.1335000000000002</v>
      </c>
      <c r="E9" s="3">
        <f t="shared" si="0"/>
        <v>21.530977206595541</v>
      </c>
      <c r="F9" s="4">
        <f t="shared" si="1"/>
        <v>0.6659011014764471</v>
      </c>
      <c r="G9" s="5">
        <f t="shared" si="2"/>
        <v>29.847685071478789</v>
      </c>
      <c r="I9">
        <v>47</v>
      </c>
      <c r="J9">
        <v>30</v>
      </c>
      <c r="K9">
        <v>21.530977206595541</v>
      </c>
      <c r="M9">
        <f t="shared" si="3"/>
        <v>21.530977206595541</v>
      </c>
      <c r="N9">
        <v>29.847685071478789</v>
      </c>
      <c r="P9">
        <f t="shared" si="4"/>
        <v>29.847685071478789</v>
      </c>
    </row>
    <row r="10" spans="1:16">
      <c r="A10" s="2" t="s">
        <v>15</v>
      </c>
      <c r="B10">
        <v>1.8938999999999999</v>
      </c>
      <c r="C10">
        <v>4.7807000000000004</v>
      </c>
      <c r="D10">
        <v>2.0889000000000002</v>
      </c>
      <c r="E10" s="3">
        <f t="shared" si="0"/>
        <v>28.37473406646091</v>
      </c>
      <c r="F10" s="4">
        <f t="shared" si="1"/>
        <v>0.90664943271578335</v>
      </c>
      <c r="G10" s="5">
        <f t="shared" si="2"/>
        <v>40.63874752261956</v>
      </c>
      <c r="I10">
        <v>47</v>
      </c>
      <c r="J10">
        <v>60</v>
      </c>
      <c r="K10">
        <v>28.37473406646091</v>
      </c>
      <c r="M10">
        <f t="shared" si="3"/>
        <v>28.37473406646091</v>
      </c>
      <c r="N10">
        <v>40.63874752261956</v>
      </c>
      <c r="P10">
        <f t="shared" si="4"/>
        <v>40.63874752261956</v>
      </c>
    </row>
    <row r="11" spans="1:16">
      <c r="A11" s="2" t="s">
        <v>16</v>
      </c>
      <c r="B11">
        <v>0.84399999999999997</v>
      </c>
      <c r="C11">
        <v>5.6845999999999997</v>
      </c>
      <c r="D11">
        <v>2.1244999999999998</v>
      </c>
      <c r="E11" s="3">
        <f t="shared" si="0"/>
        <v>12.927733357840884</v>
      </c>
      <c r="F11" s="4">
        <f t="shared" si="1"/>
        <v>0.39726994586961639</v>
      </c>
      <c r="G11" s="5">
        <f t="shared" si="2"/>
        <v>17.806830783713817</v>
      </c>
      <c r="I11">
        <v>52</v>
      </c>
      <c r="J11">
        <v>10</v>
      </c>
      <c r="K11">
        <v>12.927733357840884</v>
      </c>
      <c r="M11">
        <f t="shared" si="3"/>
        <v>12.927733357840884</v>
      </c>
      <c r="N11">
        <v>17.806830783713817</v>
      </c>
      <c r="P11">
        <f t="shared" si="4"/>
        <v>17.806830783713817</v>
      </c>
    </row>
    <row r="12" spans="1:16">
      <c r="A12" s="2" t="s">
        <v>17</v>
      </c>
      <c r="B12">
        <v>1.494</v>
      </c>
      <c r="C12">
        <v>5.1170999999999998</v>
      </c>
      <c r="D12">
        <v>2.1095999999999999</v>
      </c>
      <c r="E12" s="3">
        <f t="shared" si="0"/>
        <v>22.598357308163543</v>
      </c>
      <c r="F12" s="4">
        <f t="shared" si="1"/>
        <v>0.70819112627986347</v>
      </c>
      <c r="G12" s="5">
        <f t="shared" si="2"/>
        <v>31.743250853242319</v>
      </c>
      <c r="I12">
        <v>52</v>
      </c>
      <c r="J12">
        <v>30</v>
      </c>
      <c r="K12">
        <v>22.598357308163543</v>
      </c>
      <c r="M12">
        <f t="shared" si="3"/>
        <v>22.598357308163543</v>
      </c>
      <c r="N12">
        <v>31.743250853242319</v>
      </c>
      <c r="P12">
        <f t="shared" si="4"/>
        <v>31.743250853242319</v>
      </c>
    </row>
    <row r="13" spans="1:16">
      <c r="A13" s="2" t="s">
        <v>18</v>
      </c>
      <c r="B13">
        <v>1.8065</v>
      </c>
      <c r="C13">
        <v>4.3868999999999998</v>
      </c>
      <c r="D13">
        <v>1.986</v>
      </c>
      <c r="E13" s="3">
        <f t="shared" si="0"/>
        <v>29.168146736848904</v>
      </c>
      <c r="F13" s="4">
        <f t="shared" si="1"/>
        <v>0.90961732124874117</v>
      </c>
      <c r="G13" s="5">
        <f t="shared" si="2"/>
        <v>40.771777190332323</v>
      </c>
      <c r="I13">
        <v>52</v>
      </c>
      <c r="J13">
        <v>60</v>
      </c>
      <c r="K13">
        <v>29.168146736848904</v>
      </c>
      <c r="M13">
        <f t="shared" si="3"/>
        <v>29.168146736848904</v>
      </c>
      <c r="N13">
        <v>40.771777190332323</v>
      </c>
      <c r="P13">
        <f t="shared" si="4"/>
        <v>40.771777190332323</v>
      </c>
    </row>
    <row r="14" spans="1:16">
      <c r="A14" s="6" t="s">
        <v>7</v>
      </c>
      <c r="B14" s="7">
        <v>0.47760000000000002</v>
      </c>
      <c r="C14" s="7">
        <v>6.8456000000000001</v>
      </c>
      <c r="D14" s="7">
        <v>2.0207000000000002</v>
      </c>
      <c r="E14" s="8">
        <f>B14/(B14+C14)*100</f>
        <v>6.5217391304347823</v>
      </c>
      <c r="F14" s="9">
        <f>B14/D14</f>
        <v>0.23635373880338495</v>
      </c>
      <c r="G14" s="9">
        <f>F14*44.823</f>
        <v>10.594083634384123</v>
      </c>
      <c r="I14">
        <v>57</v>
      </c>
      <c r="J14">
        <v>10</v>
      </c>
      <c r="K14">
        <v>9.1293339750162161</v>
      </c>
      <c r="M14">
        <f t="shared" si="3"/>
        <v>9.1293339750162161</v>
      </c>
      <c r="N14">
        <v>14.775064143245691</v>
      </c>
      <c r="P14">
        <f t="shared" si="4"/>
        <v>14.775064143245691</v>
      </c>
    </row>
    <row r="15" spans="1:16">
      <c r="A15" s="2" t="s">
        <v>8</v>
      </c>
      <c r="B15">
        <v>1.4751000000000001</v>
      </c>
      <c r="C15">
        <v>9.0276999999999994</v>
      </c>
      <c r="D15">
        <v>2.8521999999999998</v>
      </c>
      <c r="E15" s="10">
        <f t="shared" ref="E15:E25" si="5">B15/(B15+C15)*100</f>
        <v>14.044826141600335</v>
      </c>
      <c r="F15" s="4">
        <f t="shared" ref="F15:F25" si="6">B15/D15</f>
        <v>0.51717972091718678</v>
      </c>
      <c r="G15" s="5">
        <f t="shared" ref="G15:G25" si="7">F15*44.823</f>
        <v>23.181546630671065</v>
      </c>
      <c r="I15">
        <v>57</v>
      </c>
      <c r="J15">
        <v>30</v>
      </c>
      <c r="K15">
        <v>13.85390940228273</v>
      </c>
      <c r="M15">
        <f t="shared" si="3"/>
        <v>13.85390940228273</v>
      </c>
      <c r="N15">
        <v>22.086625203340201</v>
      </c>
      <c r="P15">
        <f t="shared" si="4"/>
        <v>22.086625203340201</v>
      </c>
    </row>
    <row r="16" spans="1:16">
      <c r="A16" s="2" t="s">
        <v>9</v>
      </c>
      <c r="B16">
        <v>2.1751</v>
      </c>
      <c r="C16">
        <v>8.2364999999999995</v>
      </c>
      <c r="D16">
        <v>2.7664</v>
      </c>
      <c r="E16" s="10">
        <f t="shared" si="5"/>
        <v>20.891121441469132</v>
      </c>
      <c r="F16" s="4">
        <f t="shared" si="6"/>
        <v>0.78625650665124347</v>
      </c>
      <c r="G16" s="5">
        <f t="shared" si="7"/>
        <v>35.242375397628685</v>
      </c>
      <c r="I16">
        <v>57</v>
      </c>
      <c r="J16">
        <v>60</v>
      </c>
      <c r="K16">
        <v>15.944555556743921</v>
      </c>
      <c r="M16">
        <f t="shared" si="3"/>
        <v>15.944555556743921</v>
      </c>
      <c r="N16">
        <v>24.781060040793623</v>
      </c>
      <c r="P16">
        <f t="shared" si="4"/>
        <v>24.781060040793623</v>
      </c>
    </row>
    <row r="17" spans="1:16">
      <c r="A17" s="2" t="s">
        <v>10</v>
      </c>
      <c r="B17">
        <v>0.95960000000000001</v>
      </c>
      <c r="C17">
        <v>10.2075</v>
      </c>
      <c r="D17">
        <v>3.0019</v>
      </c>
      <c r="E17" s="10">
        <f t="shared" si="5"/>
        <v>8.5930993722631666</v>
      </c>
      <c r="F17" s="4">
        <f t="shared" si="6"/>
        <v>0.31966421266531198</v>
      </c>
      <c r="G17" s="5">
        <f t="shared" si="7"/>
        <v>14.328309004297278</v>
      </c>
      <c r="I17">
        <v>62</v>
      </c>
      <c r="J17">
        <v>10</v>
      </c>
      <c r="K17">
        <v>0.96229706754969824</v>
      </c>
      <c r="M17">
        <f t="shared" si="3"/>
        <v>0.96229706754969824</v>
      </c>
      <c r="N17">
        <v>1.506100104760796</v>
      </c>
      <c r="P17">
        <f t="shared" si="4"/>
        <v>1.506100104760796</v>
      </c>
    </row>
    <row r="18" spans="1:16">
      <c r="A18" s="2" t="s">
        <v>11</v>
      </c>
      <c r="B18">
        <v>1.7572000000000001</v>
      </c>
      <c r="C18">
        <v>8.3093000000000004</v>
      </c>
      <c r="D18">
        <v>2.7008000000000001</v>
      </c>
      <c r="E18" s="10">
        <f t="shared" si="5"/>
        <v>17.455918144340139</v>
      </c>
      <c r="F18" s="4">
        <f t="shared" si="6"/>
        <v>0.65062203791469198</v>
      </c>
      <c r="G18" s="5">
        <f t="shared" si="7"/>
        <v>29.16283160545024</v>
      </c>
      <c r="I18">
        <v>62</v>
      </c>
      <c r="J18">
        <v>30</v>
      </c>
      <c r="K18">
        <v>0.96672181144985769</v>
      </c>
      <c r="M18">
        <f t="shared" si="3"/>
        <v>0.96672181144985769</v>
      </c>
      <c r="N18">
        <v>1.4681215968885841</v>
      </c>
      <c r="P18">
        <f t="shared" si="4"/>
        <v>1.4681215968885841</v>
      </c>
    </row>
    <row r="19" spans="1:16">
      <c r="A19" s="2" t="s">
        <v>12</v>
      </c>
      <c r="B19">
        <v>2.3755999999999999</v>
      </c>
      <c r="C19">
        <v>7.54</v>
      </c>
      <c r="D19">
        <v>2.6720999999999999</v>
      </c>
      <c r="E19" s="10">
        <f t="shared" si="5"/>
        <v>23.958207269353345</v>
      </c>
      <c r="F19" s="4">
        <f t="shared" si="6"/>
        <v>0.88903858388533363</v>
      </c>
      <c r="G19" s="5">
        <f t="shared" si="7"/>
        <v>39.849376445492311</v>
      </c>
      <c r="I19">
        <v>62</v>
      </c>
      <c r="J19">
        <v>60</v>
      </c>
      <c r="K19">
        <v>1.0491903885190956</v>
      </c>
      <c r="M19">
        <f t="shared" si="3"/>
        <v>1.0491903885190956</v>
      </c>
      <c r="N19">
        <v>1.5488046875000001</v>
      </c>
      <c r="P19">
        <f t="shared" si="4"/>
        <v>1.5488046875000001</v>
      </c>
    </row>
    <row r="20" spans="1:16">
      <c r="A20" s="2" t="s">
        <v>19</v>
      </c>
      <c r="B20">
        <v>0.87260000000000004</v>
      </c>
      <c r="C20">
        <v>8.6856000000000009</v>
      </c>
      <c r="D20">
        <v>2.6472000000000002</v>
      </c>
      <c r="E20" s="10">
        <f t="shared" si="5"/>
        <v>9.1293339750162161</v>
      </c>
      <c r="F20" s="4">
        <f t="shared" si="6"/>
        <v>0.32963130855243272</v>
      </c>
      <c r="G20" s="5">
        <f t="shared" si="7"/>
        <v>14.775064143245691</v>
      </c>
    </row>
    <row r="21" spans="1:16">
      <c r="A21" s="2" t="s">
        <v>20</v>
      </c>
      <c r="B21">
        <v>1.3631</v>
      </c>
      <c r="C21">
        <v>8.4760000000000009</v>
      </c>
      <c r="D21">
        <v>2.7663000000000002</v>
      </c>
      <c r="E21" s="10">
        <f t="shared" si="5"/>
        <v>13.85390940228273</v>
      </c>
      <c r="F21" s="4">
        <f t="shared" si="6"/>
        <v>0.4927520514767017</v>
      </c>
      <c r="G21" s="5">
        <f t="shared" si="7"/>
        <v>22.086625203340201</v>
      </c>
    </row>
    <row r="22" spans="1:16">
      <c r="A22" s="2" t="s">
        <v>21</v>
      </c>
      <c r="B22">
        <v>1.4907999999999999</v>
      </c>
      <c r="C22">
        <v>7.8590999999999998</v>
      </c>
      <c r="D22">
        <v>2.6964999999999999</v>
      </c>
      <c r="E22" s="10">
        <f t="shared" si="5"/>
        <v>15.944555556743921</v>
      </c>
      <c r="F22" s="4">
        <f t="shared" si="6"/>
        <v>0.5528648247728537</v>
      </c>
      <c r="G22" s="5">
        <f t="shared" si="7"/>
        <v>24.781060040793623</v>
      </c>
    </row>
    <row r="23" spans="1:16">
      <c r="A23" s="2" t="s">
        <v>22</v>
      </c>
      <c r="B23">
        <v>8.6599999999999996E-2</v>
      </c>
      <c r="C23">
        <v>8.9126999999999992</v>
      </c>
      <c r="D23">
        <v>2.5773000000000001</v>
      </c>
      <c r="E23" s="10">
        <f t="shared" si="5"/>
        <v>0.96229706754969824</v>
      </c>
      <c r="F23" s="4">
        <f t="shared" si="6"/>
        <v>3.3601055368020792E-2</v>
      </c>
      <c r="G23" s="5">
        <f t="shared" si="7"/>
        <v>1.506100104760796</v>
      </c>
    </row>
    <row r="24" spans="1:16">
      <c r="A24" s="2" t="s">
        <v>23</v>
      </c>
      <c r="B24">
        <v>8.5900000000000004E-2</v>
      </c>
      <c r="C24">
        <v>8.7997999999999994</v>
      </c>
      <c r="D24">
        <v>2.6225999999999998</v>
      </c>
      <c r="E24" s="10">
        <f t="shared" si="5"/>
        <v>0.96672181144985769</v>
      </c>
      <c r="F24" s="4">
        <f t="shared" si="6"/>
        <v>3.2753755814840239E-2</v>
      </c>
      <c r="G24" s="5">
        <f t="shared" si="7"/>
        <v>1.4681215968885841</v>
      </c>
    </row>
    <row r="25" spans="1:16">
      <c r="A25" s="2" t="s">
        <v>24</v>
      </c>
      <c r="B25">
        <v>8.8900000000000007E-2</v>
      </c>
      <c r="C25">
        <v>8.3842999999999996</v>
      </c>
      <c r="D25">
        <v>2.5728</v>
      </c>
      <c r="E25" s="10">
        <f t="shared" si="5"/>
        <v>1.0491903885190956</v>
      </c>
      <c r="F25" s="4">
        <f t="shared" si="6"/>
        <v>3.4553793532338312E-2</v>
      </c>
      <c r="G25" s="5">
        <f t="shared" si="7"/>
        <v>1.5488046875000001</v>
      </c>
    </row>
    <row r="26" spans="1:16">
      <c r="A26" s="2"/>
      <c r="E26" s="10"/>
      <c r="F26" s="4"/>
      <c r="G26" s="5"/>
    </row>
    <row r="27" spans="1:16">
      <c r="A27" s="2"/>
      <c r="E27" s="10"/>
      <c r="F27" s="4"/>
      <c r="G27" s="5"/>
    </row>
    <row r="28" spans="1:16">
      <c r="A28" s="2"/>
      <c r="E28" s="10"/>
      <c r="F28" s="4"/>
      <c r="G28" s="5"/>
    </row>
    <row r="29" spans="1:16">
      <c r="A29" s="2"/>
      <c r="E29" s="10"/>
      <c r="F29" s="4"/>
      <c r="G29" s="5"/>
    </row>
    <row r="30" spans="1:16">
      <c r="A30" s="2"/>
      <c r="E30" s="10"/>
      <c r="F30" s="4"/>
      <c r="G30" s="5"/>
    </row>
    <row r="31" spans="1:16">
      <c r="A31" s="2"/>
      <c r="E31" s="10"/>
      <c r="F31" s="4"/>
      <c r="G31" s="5"/>
    </row>
    <row r="32" spans="1:16">
      <c r="A32" s="2"/>
      <c r="E32" s="10"/>
      <c r="F32" s="4"/>
      <c r="G32" s="5"/>
    </row>
    <row r="33" spans="1:7">
      <c r="A33" s="2"/>
      <c r="E33" s="10"/>
      <c r="F33" s="4"/>
      <c r="G33" s="5"/>
    </row>
    <row r="34" spans="1:7">
      <c r="A34" s="2"/>
      <c r="E34" s="10"/>
      <c r="F34" s="4"/>
      <c r="G34" s="5"/>
    </row>
    <row r="35" spans="1:7">
      <c r="A35" s="2"/>
      <c r="E35" s="10"/>
      <c r="F35" s="4"/>
      <c r="G35" s="5"/>
    </row>
    <row r="36" spans="1:7">
      <c r="A36" s="2"/>
      <c r="E36" s="10"/>
      <c r="F36" s="4"/>
      <c r="G36" s="5"/>
    </row>
    <row r="37" spans="1:7">
      <c r="A37" s="2"/>
      <c r="E37" s="10"/>
      <c r="F37" s="4"/>
      <c r="G37" s="5"/>
    </row>
    <row r="38" spans="1:7">
      <c r="A38" s="2"/>
      <c r="E38" s="10"/>
      <c r="F38" s="4"/>
      <c r="G38" s="5"/>
    </row>
    <row r="39" spans="1:7">
      <c r="A39" s="2"/>
      <c r="E39" s="10"/>
      <c r="F39" s="4"/>
      <c r="G39" s="5"/>
    </row>
    <row r="40" spans="1:7">
      <c r="A40" s="2"/>
      <c r="E40" s="10"/>
      <c r="F40" s="4"/>
      <c r="G40" s="5"/>
    </row>
    <row r="41" spans="1:7">
      <c r="A41" s="2"/>
      <c r="E41" s="10"/>
      <c r="F41" s="4"/>
      <c r="G41" s="5"/>
    </row>
    <row r="42" spans="1:7">
      <c r="A42" s="2"/>
      <c r="E42" s="10"/>
      <c r="F42" s="4"/>
      <c r="G42" s="5"/>
    </row>
    <row r="43" spans="1:7">
      <c r="A43" s="2"/>
      <c r="E43" s="10"/>
      <c r="F43" s="4"/>
      <c r="G43" s="5"/>
    </row>
    <row r="44" spans="1:7">
      <c r="A44" s="2"/>
      <c r="E44" s="10"/>
      <c r="F44" s="4"/>
      <c r="G44" s="5"/>
    </row>
    <row r="45" spans="1:7">
      <c r="A45" s="2"/>
      <c r="E45" s="10"/>
      <c r="F45" s="4"/>
      <c r="G45" s="5"/>
    </row>
    <row r="46" spans="1:7">
      <c r="A46" s="2"/>
      <c r="E46" s="10"/>
      <c r="F46" s="4"/>
      <c r="G46" s="5"/>
    </row>
    <row r="47" spans="1:7">
      <c r="A47" s="2"/>
      <c r="E47" s="10"/>
      <c r="F47" s="4"/>
      <c r="G47" s="5"/>
    </row>
    <row r="48" spans="1:7">
      <c r="A48" s="2"/>
      <c r="E48" s="10"/>
      <c r="F48" s="4"/>
      <c r="G48" s="5"/>
    </row>
    <row r="49" spans="1:7">
      <c r="A49" s="2"/>
      <c r="E49" s="10"/>
      <c r="F49" s="4"/>
      <c r="G49" s="5"/>
    </row>
    <row r="50" spans="1:7">
      <c r="A50" s="2"/>
      <c r="E50" s="10"/>
      <c r="F50" s="4"/>
      <c r="G50" s="5"/>
    </row>
    <row r="51" spans="1:7">
      <c r="A51" s="2"/>
      <c r="E51" s="10"/>
      <c r="F51" s="4"/>
      <c r="G51" s="5"/>
    </row>
    <row r="52" spans="1:7">
      <c r="A52" s="2"/>
      <c r="E52" s="10"/>
      <c r="F52" s="4"/>
      <c r="G52" s="5"/>
    </row>
    <row r="53" spans="1:7">
      <c r="A53" s="2"/>
      <c r="E53" s="10"/>
      <c r="F53" s="4"/>
      <c r="G53" s="5"/>
    </row>
    <row r="54" spans="1:7">
      <c r="A54" s="2"/>
      <c r="E54" s="10"/>
      <c r="F54" s="4"/>
      <c r="G54" s="5"/>
    </row>
    <row r="55" spans="1:7">
      <c r="A55" s="2"/>
      <c r="E55" s="10"/>
      <c r="F55" s="4"/>
      <c r="G55" s="5"/>
    </row>
    <row r="56" spans="1:7">
      <c r="A56" s="2"/>
      <c r="E56" s="10"/>
      <c r="F56" s="4"/>
      <c r="G56" s="5"/>
    </row>
    <row r="57" spans="1:7">
      <c r="A57" s="2"/>
      <c r="E57" s="10"/>
      <c r="F57" s="4"/>
      <c r="G57" s="5"/>
    </row>
    <row r="58" spans="1:7">
      <c r="A58" s="2"/>
      <c r="E58" s="10"/>
      <c r="F58" s="4"/>
      <c r="G58" s="5"/>
    </row>
    <row r="59" spans="1:7">
      <c r="A59" s="2"/>
      <c r="E59" s="10"/>
      <c r="F59" s="4"/>
      <c r="G59" s="5"/>
    </row>
    <row r="60" spans="1:7">
      <c r="A60" s="2"/>
      <c r="E60" s="10"/>
      <c r="F60" s="4"/>
      <c r="G60" s="5"/>
    </row>
    <row r="61" spans="1:7">
      <c r="A61" s="2"/>
      <c r="E61" s="10"/>
      <c r="F61" s="4"/>
      <c r="G61" s="5"/>
    </row>
    <row r="62" spans="1:7">
      <c r="A62" s="2"/>
      <c r="E62" s="10"/>
      <c r="F62" s="4"/>
      <c r="G62" s="5"/>
    </row>
    <row r="63" spans="1:7">
      <c r="A63" s="2"/>
      <c r="E63" s="10"/>
      <c r="F63" s="4"/>
      <c r="G63" s="5"/>
    </row>
    <row r="64" spans="1:7">
      <c r="A64" s="2"/>
      <c r="E64" s="10"/>
      <c r="F64" s="4"/>
      <c r="G64" s="5"/>
    </row>
    <row r="65" spans="1:7">
      <c r="A65" s="2"/>
      <c r="E65" s="10"/>
      <c r="F65" s="4"/>
      <c r="G65" s="5"/>
    </row>
    <row r="66" spans="1:7">
      <c r="A66" s="2"/>
      <c r="E66" s="10"/>
      <c r="F66" s="4"/>
      <c r="G66" s="5"/>
    </row>
    <row r="67" spans="1:7">
      <c r="A67" s="2"/>
      <c r="E67" s="10"/>
      <c r="F67" s="4"/>
      <c r="G67" s="5"/>
    </row>
    <row r="68" spans="1:7">
      <c r="A68" s="2"/>
      <c r="E68" s="10"/>
      <c r="F68" s="4"/>
      <c r="G68" s="5"/>
    </row>
    <row r="69" spans="1:7">
      <c r="A69" s="2"/>
      <c r="E69" s="10"/>
      <c r="F69" s="4"/>
      <c r="G69" s="5"/>
    </row>
    <row r="70" spans="1:7">
      <c r="A70" s="2"/>
      <c r="E70" s="10"/>
      <c r="F70" s="4"/>
      <c r="G70" s="5"/>
    </row>
    <row r="71" spans="1:7">
      <c r="A71" s="2"/>
      <c r="E71" s="10"/>
      <c r="F71" s="4"/>
      <c r="G71" s="5"/>
    </row>
    <row r="72" spans="1:7">
      <c r="A72" s="2"/>
      <c r="E72" s="10"/>
      <c r="F72" s="4"/>
      <c r="G72" s="5"/>
    </row>
    <row r="73" spans="1:7">
      <c r="A73" s="2"/>
      <c r="E73" s="10"/>
      <c r="F73" s="4"/>
      <c r="G73" s="5"/>
    </row>
    <row r="74" spans="1:7">
      <c r="A74" s="2"/>
      <c r="E74" s="10"/>
      <c r="F74" s="4"/>
      <c r="G74" s="5"/>
    </row>
    <row r="75" spans="1:7">
      <c r="A75" s="2"/>
      <c r="E75" s="10"/>
      <c r="F75" s="4"/>
      <c r="G75" s="5"/>
    </row>
    <row r="76" spans="1:7">
      <c r="A76" s="2"/>
      <c r="E76" s="10"/>
      <c r="F76" s="4"/>
      <c r="G76" s="5"/>
    </row>
    <row r="77" spans="1:7">
      <c r="A77" s="2"/>
      <c r="E77" s="10"/>
      <c r="F77" s="4"/>
      <c r="G77" s="5"/>
    </row>
    <row r="78" spans="1:7">
      <c r="A78" s="2"/>
      <c r="E78" s="10"/>
      <c r="F78" s="4"/>
      <c r="G78" s="5"/>
    </row>
    <row r="79" spans="1:7">
      <c r="A79" s="2"/>
      <c r="E79" s="10"/>
      <c r="F79" s="4"/>
      <c r="G79" s="5"/>
    </row>
    <row r="80" spans="1:7">
      <c r="A80" s="2"/>
      <c r="E80" s="10"/>
      <c r="F80" s="4"/>
      <c r="G80" s="5"/>
    </row>
    <row r="81" spans="1:7">
      <c r="A81" s="2"/>
      <c r="E81" s="10"/>
      <c r="F81" s="4"/>
      <c r="G81" s="5"/>
    </row>
    <row r="82" spans="1:7">
      <c r="A82" s="2"/>
      <c r="E82" s="10"/>
      <c r="F82" s="4"/>
      <c r="G82" s="5"/>
    </row>
    <row r="83" spans="1:7">
      <c r="A83" s="2"/>
      <c r="E83" s="10"/>
      <c r="F83" s="4"/>
      <c r="G83" s="5"/>
    </row>
    <row r="84" spans="1:7">
      <c r="A84" s="2"/>
      <c r="E84" s="10"/>
      <c r="F84" s="4"/>
      <c r="G84" s="5"/>
    </row>
    <row r="85" spans="1:7">
      <c r="A85" s="2"/>
      <c r="E85" s="10"/>
      <c r="F85" s="4"/>
      <c r="G8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6760-268E-AB49-8BD6-35584A3B6AD4}">
  <dimension ref="A1:L217"/>
  <sheetViews>
    <sheetView topLeftCell="A183" workbookViewId="0">
      <selection activeCell="J3" sqref="J3:J217"/>
    </sheetView>
  </sheetViews>
  <sheetFormatPr baseColWidth="10" defaultRowHeight="16"/>
  <cols>
    <col min="1" max="1" width="16.33203125" customWidth="1"/>
    <col min="3" max="3" width="14" customWidth="1"/>
    <col min="4" max="4" width="13.6640625" customWidth="1"/>
    <col min="5" max="6" width="14.1640625" customWidth="1"/>
    <col min="10" max="12" width="17.332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249</v>
      </c>
      <c r="G1" s="1" t="s">
        <v>6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</row>
    <row r="2" spans="1:12">
      <c r="A2" s="2" t="s">
        <v>69</v>
      </c>
      <c r="B2">
        <v>0.35110000000000002</v>
      </c>
      <c r="C2">
        <v>6.2229000000000001</v>
      </c>
      <c r="D2">
        <v>2.1863999999999999</v>
      </c>
      <c r="E2">
        <f t="shared" ref="E2:E65" si="0">B2/D2</f>
        <v>0.16058360775704356</v>
      </c>
      <c r="F2">
        <f t="shared" ref="F2:F65" si="1">C2/D2</f>
        <v>2.8461855104281013</v>
      </c>
      <c r="G2">
        <f t="shared" ref="G2:G65" si="2">E2*44.823</f>
        <v>7.1978390504939638</v>
      </c>
      <c r="H2">
        <f t="shared" ref="H2:H65" si="3">F2*116.904</f>
        <v>332.73047091108674</v>
      </c>
      <c r="I2" s="4">
        <f t="shared" ref="I2:I65" si="4">G2/(G2+H2)*100</f>
        <v>2.1174579579169137</v>
      </c>
      <c r="J2" s="3">
        <f>B2*4.344</f>
        <v>1.5251784000000002</v>
      </c>
      <c r="K2" s="3">
        <f>C2*10.5</f>
        <v>65.340450000000004</v>
      </c>
      <c r="L2" s="3">
        <f>J2/(J2+K2)*100</f>
        <v>2.2809602429459859</v>
      </c>
    </row>
    <row r="3" spans="1:12">
      <c r="A3" s="2" t="s">
        <v>141</v>
      </c>
      <c r="B3">
        <v>0.55430000000000001</v>
      </c>
      <c r="C3">
        <v>8.0068000000000001</v>
      </c>
      <c r="D3">
        <v>2.3635999999999999</v>
      </c>
      <c r="E3">
        <f t="shared" si="0"/>
        <v>0.23451514638686752</v>
      </c>
      <c r="F3">
        <f t="shared" si="1"/>
        <v>3.3875444237603656</v>
      </c>
      <c r="G3">
        <f t="shared" si="2"/>
        <v>10.511672406498564</v>
      </c>
      <c r="H3">
        <f t="shared" si="3"/>
        <v>396.01749331528174</v>
      </c>
      <c r="I3" s="4">
        <f t="shared" si="4"/>
        <v>2.5857117503083464</v>
      </c>
      <c r="J3" s="3">
        <f>B3*4.344</f>
        <v>2.4078792000000004</v>
      </c>
      <c r="K3" s="3">
        <f t="shared" ref="K3:K66" si="5">C3*10.5</f>
        <v>84.071399999999997</v>
      </c>
      <c r="L3" s="3">
        <f t="shared" ref="L3:L66" si="6">J3/(J3+K3)*100</f>
        <v>2.784342356081988</v>
      </c>
    </row>
    <row r="4" spans="1:12">
      <c r="A4" s="2" t="s">
        <v>70</v>
      </c>
      <c r="B4">
        <v>0.93240000000000001</v>
      </c>
      <c r="C4">
        <v>5.8243</v>
      </c>
      <c r="D4">
        <v>2.3439999999999999</v>
      </c>
      <c r="E4">
        <f t="shared" si="0"/>
        <v>0.39778156996587033</v>
      </c>
      <c r="F4">
        <f t="shared" si="1"/>
        <v>2.4847696245733788</v>
      </c>
      <c r="G4">
        <f t="shared" si="2"/>
        <v>17.829763310580205</v>
      </c>
      <c r="H4">
        <f t="shared" si="3"/>
        <v>290.47950819112629</v>
      </c>
      <c r="I4" s="4">
        <f t="shared" si="4"/>
        <v>5.7830772405044328</v>
      </c>
      <c r="J4" s="3">
        <f t="shared" ref="J4:J67" si="7">B4*4.344</f>
        <v>4.0503456</v>
      </c>
      <c r="K4" s="3">
        <f t="shared" si="5"/>
        <v>61.155149999999999</v>
      </c>
      <c r="L4" s="3">
        <f t="shared" si="6"/>
        <v>6.2116629322881787</v>
      </c>
    </row>
    <row r="5" spans="1:12">
      <c r="A5" s="2" t="s">
        <v>142</v>
      </c>
      <c r="B5">
        <v>1.1301000000000001</v>
      </c>
      <c r="C5">
        <v>7.0629999999999997</v>
      </c>
      <c r="D5">
        <v>2.2387999999999999</v>
      </c>
      <c r="E5">
        <f t="shared" si="0"/>
        <v>0.50477934607825625</v>
      </c>
      <c r="F5">
        <f t="shared" si="1"/>
        <v>3.1548150795068786</v>
      </c>
      <c r="G5">
        <f t="shared" si="2"/>
        <v>22.62572462926568</v>
      </c>
      <c r="H5">
        <f t="shared" si="3"/>
        <v>368.8105020546721</v>
      </c>
      <c r="I5" s="4">
        <f t="shared" si="4"/>
        <v>5.7801815690234131</v>
      </c>
      <c r="J5" s="3">
        <f t="shared" si="7"/>
        <v>4.9091544000000011</v>
      </c>
      <c r="K5" s="3">
        <f t="shared" si="5"/>
        <v>74.161500000000004</v>
      </c>
      <c r="L5" s="3">
        <f t="shared" si="6"/>
        <v>6.2085668030085266</v>
      </c>
    </row>
    <row r="6" spans="1:12">
      <c r="A6" s="2" t="s">
        <v>71</v>
      </c>
      <c r="B6">
        <v>1.5921000000000001</v>
      </c>
      <c r="C6">
        <v>5.6238000000000001</v>
      </c>
      <c r="D6">
        <v>2.2652000000000001</v>
      </c>
      <c r="E6">
        <f t="shared" si="0"/>
        <v>0.70285184531167222</v>
      </c>
      <c r="F6">
        <f t="shared" si="1"/>
        <v>2.4826946847960443</v>
      </c>
      <c r="G6">
        <f t="shared" si="2"/>
        <v>31.503928262405083</v>
      </c>
      <c r="H6">
        <f t="shared" si="3"/>
        <v>290.23693943139676</v>
      </c>
      <c r="I6" s="4">
        <f t="shared" si="4"/>
        <v>9.7917086157631399</v>
      </c>
      <c r="J6" s="3">
        <f t="shared" si="7"/>
        <v>6.9160824000000005</v>
      </c>
      <c r="K6" s="3">
        <f t="shared" si="5"/>
        <v>59.049900000000001</v>
      </c>
      <c r="L6" s="3">
        <f t="shared" si="6"/>
        <v>10.484316534638618</v>
      </c>
    </row>
    <row r="7" spans="1:12">
      <c r="A7" s="2" t="s">
        <v>143</v>
      </c>
      <c r="B7">
        <v>1.7499</v>
      </c>
      <c r="C7">
        <v>6.7864000000000004</v>
      </c>
      <c r="D7">
        <v>2.3083999999999998</v>
      </c>
      <c r="E7">
        <f t="shared" si="0"/>
        <v>0.75805752902443257</v>
      </c>
      <c r="F7">
        <f t="shared" si="1"/>
        <v>2.9398717726563857</v>
      </c>
      <c r="G7">
        <f t="shared" si="2"/>
        <v>33.978412623462141</v>
      </c>
      <c r="H7">
        <f t="shared" si="3"/>
        <v>343.6827697106221</v>
      </c>
      <c r="I7" s="4">
        <f t="shared" si="4"/>
        <v>8.9970625028135345</v>
      </c>
      <c r="J7" s="3">
        <f t="shared" si="7"/>
        <v>7.6015656000000007</v>
      </c>
      <c r="K7" s="3">
        <f t="shared" si="5"/>
        <v>71.257200000000012</v>
      </c>
      <c r="L7" s="3">
        <f t="shared" si="6"/>
        <v>9.6394681582487252</v>
      </c>
    </row>
    <row r="8" spans="1:12">
      <c r="A8" s="2" t="s">
        <v>72</v>
      </c>
      <c r="B8">
        <v>0.74870000000000003</v>
      </c>
      <c r="C8">
        <v>7.1473000000000004</v>
      </c>
      <c r="D8">
        <v>2.4933000000000001</v>
      </c>
      <c r="E8">
        <f t="shared" si="0"/>
        <v>0.30028476316528296</v>
      </c>
      <c r="F8">
        <f t="shared" si="1"/>
        <v>2.866602494685758</v>
      </c>
      <c r="G8">
        <f t="shared" si="2"/>
        <v>13.459663939357478</v>
      </c>
      <c r="H8">
        <f t="shared" si="3"/>
        <v>335.11729803874385</v>
      </c>
      <c r="I8" s="4">
        <f t="shared" si="4"/>
        <v>3.8613177024025629</v>
      </c>
      <c r="J8" s="3">
        <f t="shared" si="7"/>
        <v>3.2523528000000002</v>
      </c>
      <c r="K8" s="3">
        <f t="shared" si="5"/>
        <v>75.04665</v>
      </c>
      <c r="L8" s="3">
        <f t="shared" si="6"/>
        <v>4.1537601804553255</v>
      </c>
    </row>
    <row r="9" spans="1:12">
      <c r="A9" s="2" t="s">
        <v>144</v>
      </c>
      <c r="B9">
        <v>0.69369999999999998</v>
      </c>
      <c r="C9">
        <v>7.3400999999999996</v>
      </c>
      <c r="D9">
        <v>2.2084999999999999</v>
      </c>
      <c r="E9">
        <f t="shared" si="0"/>
        <v>0.31410459587955625</v>
      </c>
      <c r="F9">
        <f t="shared" si="1"/>
        <v>3.3235680326013131</v>
      </c>
      <c r="G9">
        <f t="shared" si="2"/>
        <v>14.079110301109349</v>
      </c>
      <c r="H9">
        <f t="shared" si="3"/>
        <v>388.5383972832239</v>
      </c>
      <c r="I9" s="4">
        <f t="shared" si="4"/>
        <v>3.4968947042523491</v>
      </c>
      <c r="J9" s="3">
        <f t="shared" si="7"/>
        <v>3.0134328000000004</v>
      </c>
      <c r="K9" s="3">
        <f t="shared" si="5"/>
        <v>77.07105</v>
      </c>
      <c r="L9" s="3">
        <f t="shared" si="6"/>
        <v>3.7628173331975372</v>
      </c>
    </row>
    <row r="10" spans="1:12">
      <c r="A10" s="2" t="s">
        <v>73</v>
      </c>
      <c r="B10">
        <v>1.5250999999999999</v>
      </c>
      <c r="C10">
        <v>6.3601999999999999</v>
      </c>
      <c r="D10">
        <v>2.5019999999999998</v>
      </c>
      <c r="E10">
        <f t="shared" si="0"/>
        <v>0.60955235811350916</v>
      </c>
      <c r="F10">
        <f t="shared" si="1"/>
        <v>2.5420463629096726</v>
      </c>
      <c r="G10">
        <f t="shared" si="2"/>
        <v>27.321965347721822</v>
      </c>
      <c r="H10">
        <f t="shared" si="3"/>
        <v>297.17538800959233</v>
      </c>
      <c r="I10" s="4">
        <f t="shared" si="4"/>
        <v>8.4197806438306309</v>
      </c>
      <c r="J10" s="3">
        <f t="shared" si="7"/>
        <v>6.6250343999999997</v>
      </c>
      <c r="K10" s="3">
        <f t="shared" si="5"/>
        <v>66.7821</v>
      </c>
      <c r="L10" s="3">
        <f t="shared" si="6"/>
        <v>9.0250551995392954</v>
      </c>
    </row>
    <row r="11" spans="1:12">
      <c r="A11" s="2" t="s">
        <v>145</v>
      </c>
      <c r="B11">
        <v>1.0098</v>
      </c>
      <c r="C11">
        <v>4.9256000000000002</v>
      </c>
      <c r="D11">
        <v>1.5891</v>
      </c>
      <c r="E11">
        <f t="shared" si="0"/>
        <v>0.63545403058334915</v>
      </c>
      <c r="F11">
        <f t="shared" si="1"/>
        <v>3.0996161349191369</v>
      </c>
      <c r="G11">
        <f t="shared" si="2"/>
        <v>28.482956012837459</v>
      </c>
      <c r="H11">
        <f t="shared" si="3"/>
        <v>362.35752463658679</v>
      </c>
      <c r="I11" s="4">
        <f t="shared" si="4"/>
        <v>7.2876166679331442</v>
      </c>
      <c r="J11" s="3">
        <f t="shared" si="7"/>
        <v>4.3865712000000006</v>
      </c>
      <c r="K11" s="3">
        <f t="shared" si="5"/>
        <v>51.718800000000002</v>
      </c>
      <c r="L11" s="3">
        <f t="shared" si="6"/>
        <v>7.8184514355374244</v>
      </c>
    </row>
    <row r="12" spans="1:12">
      <c r="A12" s="2" t="s">
        <v>74</v>
      </c>
      <c r="B12">
        <v>2.0762</v>
      </c>
      <c r="C12">
        <v>6.0029000000000003</v>
      </c>
      <c r="D12">
        <v>2.5164</v>
      </c>
      <c r="E12">
        <f t="shared" si="0"/>
        <v>0.82506755682721356</v>
      </c>
      <c r="F12">
        <f t="shared" si="1"/>
        <v>2.3855110475282149</v>
      </c>
      <c r="G12">
        <f t="shared" si="2"/>
        <v>36.982003099666194</v>
      </c>
      <c r="H12">
        <f t="shared" si="3"/>
        <v>278.87578350023841</v>
      </c>
      <c r="I12" s="4">
        <f t="shared" si="4"/>
        <v>11.708434830043023</v>
      </c>
      <c r="J12" s="3">
        <f t="shared" si="7"/>
        <v>9.0190128000000005</v>
      </c>
      <c r="K12" s="3">
        <f t="shared" si="5"/>
        <v>63.030450000000002</v>
      </c>
      <c r="L12" s="3">
        <f t="shared" si="6"/>
        <v>12.517807141790376</v>
      </c>
    </row>
    <row r="13" spans="1:12">
      <c r="A13" s="2" t="s">
        <v>146</v>
      </c>
      <c r="B13">
        <v>1.2465999999999999</v>
      </c>
      <c r="C13">
        <v>4.4499000000000004</v>
      </c>
      <c r="D13">
        <v>1.5563</v>
      </c>
      <c r="E13">
        <f t="shared" si="0"/>
        <v>0.80100237743365665</v>
      </c>
      <c r="F13">
        <f t="shared" si="1"/>
        <v>2.8592816295058796</v>
      </c>
      <c r="G13">
        <f t="shared" si="2"/>
        <v>35.903329563708795</v>
      </c>
      <c r="H13">
        <f t="shared" si="3"/>
        <v>334.26145961575531</v>
      </c>
      <c r="I13" s="4">
        <f t="shared" si="4"/>
        <v>9.6992827554708523</v>
      </c>
      <c r="J13" s="3">
        <f t="shared" si="7"/>
        <v>5.4152304000000004</v>
      </c>
      <c r="K13" s="3">
        <f t="shared" si="5"/>
        <v>46.723950000000002</v>
      </c>
      <c r="L13" s="3">
        <f t="shared" si="6"/>
        <v>10.386105724055456</v>
      </c>
    </row>
    <row r="14" spans="1:12">
      <c r="A14" s="2" t="s">
        <v>75</v>
      </c>
      <c r="B14">
        <v>0.96730000000000005</v>
      </c>
      <c r="C14">
        <v>7.1547999999999998</v>
      </c>
      <c r="D14">
        <v>2.5064000000000002</v>
      </c>
      <c r="E14">
        <f t="shared" si="0"/>
        <v>0.38593201404404726</v>
      </c>
      <c r="F14">
        <f t="shared" si="1"/>
        <v>2.8546121927864663</v>
      </c>
      <c r="G14">
        <f t="shared" si="2"/>
        <v>17.298630665496329</v>
      </c>
      <c r="H14">
        <f t="shared" si="3"/>
        <v>333.71558378550907</v>
      </c>
      <c r="I14" s="4">
        <f t="shared" si="4"/>
        <v>4.9281852282112846</v>
      </c>
      <c r="J14" s="3">
        <f t="shared" si="7"/>
        <v>4.2019512000000008</v>
      </c>
      <c r="K14" s="3">
        <f t="shared" si="5"/>
        <v>75.125399999999999</v>
      </c>
      <c r="L14" s="3">
        <f t="shared" si="6"/>
        <v>5.2969765615973339</v>
      </c>
    </row>
    <row r="15" spans="1:12">
      <c r="A15" s="2" t="s">
        <v>213</v>
      </c>
      <c r="B15">
        <v>4.6467000000000001</v>
      </c>
      <c r="C15">
        <v>38.3917</v>
      </c>
      <c r="D15">
        <v>11.229799999999999</v>
      </c>
      <c r="E15">
        <f t="shared" si="0"/>
        <v>0.41378297031113648</v>
      </c>
      <c r="F15">
        <f t="shared" si="1"/>
        <v>3.4187340825304102</v>
      </c>
      <c r="G15">
        <f t="shared" si="2"/>
        <v>18.54699407825607</v>
      </c>
      <c r="H15">
        <f t="shared" si="3"/>
        <v>399.66368918413508</v>
      </c>
      <c r="I15" s="4">
        <f t="shared" si="4"/>
        <v>4.4348446418379579</v>
      </c>
      <c r="J15" s="3">
        <f t="shared" si="7"/>
        <v>20.185264800000002</v>
      </c>
      <c r="K15" s="3">
        <f t="shared" si="5"/>
        <v>403.11284999999998</v>
      </c>
      <c r="L15" s="3">
        <f t="shared" si="6"/>
        <v>4.7685695008439009</v>
      </c>
    </row>
    <row r="16" spans="1:12">
      <c r="A16" s="2" t="s">
        <v>76</v>
      </c>
      <c r="B16">
        <v>1.8298000000000001</v>
      </c>
      <c r="C16">
        <v>5.7816999999999998</v>
      </c>
      <c r="D16">
        <v>2.6760000000000002</v>
      </c>
      <c r="E16">
        <f t="shared" si="0"/>
        <v>0.68378176382660683</v>
      </c>
      <c r="F16">
        <f t="shared" si="1"/>
        <v>2.160575485799701</v>
      </c>
      <c r="G16">
        <f t="shared" si="2"/>
        <v>30.649149999999999</v>
      </c>
      <c r="H16">
        <f t="shared" si="3"/>
        <v>252.57991659192825</v>
      </c>
      <c r="I16" s="4">
        <f t="shared" si="4"/>
        <v>10.821329310864407</v>
      </c>
      <c r="J16" s="3">
        <f t="shared" si="7"/>
        <v>7.9486512000000014</v>
      </c>
      <c r="K16" s="3">
        <f t="shared" si="5"/>
        <v>60.707850000000001</v>
      </c>
      <c r="L16" s="3">
        <f t="shared" si="6"/>
        <v>11.577419561251979</v>
      </c>
    </row>
    <row r="17" spans="1:12">
      <c r="A17" s="2" t="s">
        <v>214</v>
      </c>
      <c r="B17">
        <v>8.7324999999999999</v>
      </c>
      <c r="C17">
        <v>36.796100000000003</v>
      </c>
      <c r="D17">
        <v>11.3888</v>
      </c>
      <c r="E17">
        <f t="shared" si="0"/>
        <v>0.76676208204551843</v>
      </c>
      <c r="F17">
        <f t="shared" si="1"/>
        <v>3.2309022899690927</v>
      </c>
      <c r="G17">
        <f t="shared" si="2"/>
        <v>34.368576803526274</v>
      </c>
      <c r="H17">
        <f t="shared" si="3"/>
        <v>377.70540130654678</v>
      </c>
      <c r="I17" s="4">
        <f t="shared" si="4"/>
        <v>8.3403899855927701</v>
      </c>
      <c r="J17" s="3">
        <f t="shared" si="7"/>
        <v>37.933980000000005</v>
      </c>
      <c r="K17" s="3">
        <f t="shared" si="5"/>
        <v>386.35905000000002</v>
      </c>
      <c r="L17" s="3">
        <f t="shared" si="6"/>
        <v>8.9405145307242027</v>
      </c>
    </row>
    <row r="18" spans="1:12">
      <c r="A18" s="2" t="s">
        <v>77</v>
      </c>
      <c r="B18">
        <v>2.3996</v>
      </c>
      <c r="C18">
        <v>5.8693999999999997</v>
      </c>
      <c r="D18">
        <v>2.5011999999999999</v>
      </c>
      <c r="E18">
        <f t="shared" si="0"/>
        <v>0.95937949784103638</v>
      </c>
      <c r="F18">
        <f t="shared" si="1"/>
        <v>2.346633615864385</v>
      </c>
      <c r="G18">
        <f t="shared" si="2"/>
        <v>43.002267231728773</v>
      </c>
      <c r="H18">
        <f t="shared" si="3"/>
        <v>274.33085622901007</v>
      </c>
      <c r="I18" s="4">
        <f t="shared" si="4"/>
        <v>13.551143594075238</v>
      </c>
      <c r="J18" s="3">
        <f t="shared" si="7"/>
        <v>10.423862400000001</v>
      </c>
      <c r="K18" s="3">
        <f t="shared" si="5"/>
        <v>61.628699999999995</v>
      </c>
      <c r="L18" s="3">
        <f t="shared" si="6"/>
        <v>14.467025255995617</v>
      </c>
    </row>
    <row r="19" spans="1:12">
      <c r="A19" s="2" t="s">
        <v>215</v>
      </c>
      <c r="B19">
        <v>12.128299999999999</v>
      </c>
      <c r="C19">
        <v>33.741500000000002</v>
      </c>
      <c r="D19">
        <v>11.396000000000001</v>
      </c>
      <c r="E19">
        <f t="shared" si="0"/>
        <v>1.0642593892593892</v>
      </c>
      <c r="F19">
        <f t="shared" si="1"/>
        <v>2.9608195858195856</v>
      </c>
      <c r="G19">
        <f t="shared" si="2"/>
        <v>47.703298604773607</v>
      </c>
      <c r="H19">
        <f t="shared" si="3"/>
        <v>346.13165286065282</v>
      </c>
      <c r="I19" s="4">
        <f t="shared" si="4"/>
        <v>12.11251018409455</v>
      </c>
      <c r="J19" s="3">
        <f t="shared" si="7"/>
        <v>52.685335200000004</v>
      </c>
      <c r="K19" s="3">
        <f t="shared" si="5"/>
        <v>354.28575000000001</v>
      </c>
      <c r="L19" s="3">
        <f t="shared" si="6"/>
        <v>12.945719515701851</v>
      </c>
    </row>
    <row r="20" spans="1:12">
      <c r="A20" s="2" t="s">
        <v>78</v>
      </c>
      <c r="B20">
        <v>1.0649999999999999</v>
      </c>
      <c r="C20">
        <v>6.9747000000000003</v>
      </c>
      <c r="D20">
        <v>2.5657999999999999</v>
      </c>
      <c r="E20">
        <f t="shared" si="0"/>
        <v>0.41507522020422483</v>
      </c>
      <c r="F20">
        <f t="shared" si="1"/>
        <v>2.7183334632473306</v>
      </c>
      <c r="G20">
        <f t="shared" si="2"/>
        <v>18.604916595213968</v>
      </c>
      <c r="H20">
        <f t="shared" si="3"/>
        <v>317.78405518746592</v>
      </c>
      <c r="I20" s="4">
        <f t="shared" si="4"/>
        <v>5.5307748338531901</v>
      </c>
      <c r="J20" s="3">
        <f t="shared" si="7"/>
        <v>4.62636</v>
      </c>
      <c r="K20" s="3">
        <f t="shared" si="5"/>
        <v>73.234350000000006</v>
      </c>
      <c r="L20" s="3">
        <f t="shared" si="6"/>
        <v>5.941841527003799</v>
      </c>
    </row>
    <row r="21" spans="1:12">
      <c r="A21" s="2" t="s">
        <v>216</v>
      </c>
      <c r="B21">
        <v>5.0617999999999999</v>
      </c>
      <c r="C21">
        <v>38.2864</v>
      </c>
      <c r="D21">
        <v>11.346</v>
      </c>
      <c r="E21">
        <f t="shared" si="0"/>
        <v>0.4461307949938304</v>
      </c>
      <c r="F21">
        <f t="shared" si="1"/>
        <v>3.3744403313943239</v>
      </c>
      <c r="G21">
        <f t="shared" si="2"/>
        <v>19.99692062400846</v>
      </c>
      <c r="H21">
        <f t="shared" si="3"/>
        <v>394.485572501322</v>
      </c>
      <c r="I21" s="4">
        <f t="shared" si="4"/>
        <v>4.8245513274216449</v>
      </c>
      <c r="J21" s="3">
        <f t="shared" si="7"/>
        <v>21.988459200000001</v>
      </c>
      <c r="K21" s="3">
        <f t="shared" si="5"/>
        <v>402.00720000000001</v>
      </c>
      <c r="L21" s="3">
        <f t="shared" si="6"/>
        <v>5.1860104514956786</v>
      </c>
    </row>
    <row r="22" spans="1:12">
      <c r="A22" s="2" t="s">
        <v>79</v>
      </c>
      <c r="B22">
        <v>1.8268</v>
      </c>
      <c r="C22">
        <v>6.2032999999999996</v>
      </c>
      <c r="D22">
        <v>2.5293999999999999</v>
      </c>
      <c r="E22">
        <f t="shared" si="0"/>
        <v>0.72222661500751173</v>
      </c>
      <c r="F22">
        <f t="shared" si="1"/>
        <v>2.4524788487388314</v>
      </c>
      <c r="G22">
        <f t="shared" si="2"/>
        <v>32.372363564481695</v>
      </c>
      <c r="H22">
        <f t="shared" si="3"/>
        <v>286.70458733296431</v>
      </c>
      <c r="I22" s="4">
        <f t="shared" si="4"/>
        <v>10.145628969259658</v>
      </c>
      <c r="J22" s="3">
        <f t="shared" si="7"/>
        <v>7.9356192000000005</v>
      </c>
      <c r="K22" s="3">
        <f t="shared" si="5"/>
        <v>65.134649999999993</v>
      </c>
      <c r="L22" s="3">
        <f t="shared" si="6"/>
        <v>10.860257238521301</v>
      </c>
    </row>
    <row r="23" spans="1:12">
      <c r="A23" s="2" t="s">
        <v>217</v>
      </c>
      <c r="B23">
        <v>9.0318000000000005</v>
      </c>
      <c r="C23">
        <v>36.026499999999999</v>
      </c>
      <c r="D23">
        <v>11.3347</v>
      </c>
      <c r="E23">
        <f t="shared" si="0"/>
        <v>0.79682744139677275</v>
      </c>
      <c r="F23">
        <f t="shared" si="1"/>
        <v>3.1784255428021915</v>
      </c>
      <c r="G23">
        <f t="shared" si="2"/>
        <v>35.716196405727544</v>
      </c>
      <c r="H23">
        <f t="shared" si="3"/>
        <v>371.57065965574736</v>
      </c>
      <c r="I23" s="4">
        <f t="shared" si="4"/>
        <v>8.7692975783968414</v>
      </c>
      <c r="J23" s="3">
        <f t="shared" si="7"/>
        <v>39.234139200000008</v>
      </c>
      <c r="K23" s="3">
        <f t="shared" si="5"/>
        <v>378.27824999999996</v>
      </c>
      <c r="L23" s="3">
        <f t="shared" si="6"/>
        <v>9.3971197537819098</v>
      </c>
    </row>
    <row r="24" spans="1:12">
      <c r="A24" s="2" t="s">
        <v>80</v>
      </c>
      <c r="B24">
        <v>2.3668</v>
      </c>
      <c r="C24">
        <v>5.7275</v>
      </c>
      <c r="D24">
        <v>2.5952000000000002</v>
      </c>
      <c r="E24">
        <f t="shared" si="0"/>
        <v>0.91199136868064112</v>
      </c>
      <c r="F24">
        <f t="shared" si="1"/>
        <v>2.2069590012330456</v>
      </c>
      <c r="G24">
        <f t="shared" si="2"/>
        <v>40.878189118372376</v>
      </c>
      <c r="H24">
        <f t="shared" si="3"/>
        <v>258.00233508014793</v>
      </c>
      <c r="I24" s="4">
        <f t="shared" si="4"/>
        <v>13.677100315583143</v>
      </c>
      <c r="J24" s="3">
        <f t="shared" si="7"/>
        <v>10.2813792</v>
      </c>
      <c r="K24" s="3">
        <f t="shared" si="5"/>
        <v>60.138750000000002</v>
      </c>
      <c r="L24" s="3">
        <f t="shared" si="6"/>
        <v>14.600057280212997</v>
      </c>
    </row>
    <row r="25" spans="1:12">
      <c r="A25" s="2" t="s">
        <v>218</v>
      </c>
      <c r="B25">
        <v>11.843</v>
      </c>
      <c r="C25">
        <v>33.0822</v>
      </c>
      <c r="D25">
        <v>11.3437</v>
      </c>
      <c r="E25">
        <f t="shared" si="0"/>
        <v>1.0440156210054921</v>
      </c>
      <c r="F25">
        <f t="shared" si="1"/>
        <v>2.9163500445181025</v>
      </c>
      <c r="G25">
        <f t="shared" si="2"/>
        <v>46.795912180329168</v>
      </c>
      <c r="H25">
        <f t="shared" si="3"/>
        <v>340.93298560434425</v>
      </c>
      <c r="I25" s="4">
        <f t="shared" si="4"/>
        <v>12.069235088666886</v>
      </c>
      <c r="J25" s="3">
        <f t="shared" si="7"/>
        <v>51.445992000000004</v>
      </c>
      <c r="K25" s="3">
        <f t="shared" si="5"/>
        <v>347.36310000000003</v>
      </c>
      <c r="L25" s="3">
        <f t="shared" si="6"/>
        <v>12.899904498666745</v>
      </c>
    </row>
    <row r="26" spans="1:12">
      <c r="A26" s="2" t="s">
        <v>147</v>
      </c>
      <c r="B26">
        <v>0.4849</v>
      </c>
      <c r="C26">
        <v>5.1486999999999998</v>
      </c>
      <c r="D26">
        <v>1.5323</v>
      </c>
      <c r="E26">
        <f t="shared" si="0"/>
        <v>0.31645239182927626</v>
      </c>
      <c r="F26">
        <f t="shared" si="1"/>
        <v>3.3601122495594855</v>
      </c>
      <c r="G26">
        <f t="shared" si="2"/>
        <v>14.184345558963649</v>
      </c>
      <c r="H26">
        <f t="shared" si="3"/>
        <v>392.81056242250207</v>
      </c>
      <c r="I26" s="4">
        <f t="shared" si="4"/>
        <v>3.4851407918866628</v>
      </c>
      <c r="J26" s="3">
        <f t="shared" si="7"/>
        <v>2.1064056</v>
      </c>
      <c r="K26" s="3">
        <f t="shared" si="5"/>
        <v>54.061349999999997</v>
      </c>
      <c r="L26" s="3">
        <f t="shared" si="6"/>
        <v>3.7502043254154884</v>
      </c>
    </row>
    <row r="27" spans="1:12">
      <c r="A27" s="2" t="s">
        <v>219</v>
      </c>
      <c r="B27">
        <v>3.5819000000000001</v>
      </c>
      <c r="C27">
        <v>38.406999999999996</v>
      </c>
      <c r="D27">
        <v>11.205399999999999</v>
      </c>
      <c r="E27">
        <f t="shared" si="0"/>
        <v>0.31965837899584132</v>
      </c>
      <c r="F27">
        <f t="shared" si="1"/>
        <v>3.4275438627804449</v>
      </c>
      <c r="G27">
        <f t="shared" si="2"/>
        <v>14.328047521730596</v>
      </c>
      <c r="H27">
        <f t="shared" si="3"/>
        <v>400.69358773448511</v>
      </c>
      <c r="I27" s="4">
        <f t="shared" si="4"/>
        <v>3.452361589025378</v>
      </c>
      <c r="J27" s="3">
        <f t="shared" si="7"/>
        <v>15.559773600000002</v>
      </c>
      <c r="K27" s="3">
        <f t="shared" si="5"/>
        <v>403.27349999999996</v>
      </c>
      <c r="L27" s="3">
        <f t="shared" si="6"/>
        <v>3.7150280507226645</v>
      </c>
    </row>
    <row r="28" spans="1:12">
      <c r="A28" s="2" t="s">
        <v>148</v>
      </c>
      <c r="B28">
        <v>0.67649999999999999</v>
      </c>
      <c r="C28">
        <v>4.8087999999999997</v>
      </c>
      <c r="D28">
        <v>1.518</v>
      </c>
      <c r="E28">
        <f t="shared" si="0"/>
        <v>0.44565217391304346</v>
      </c>
      <c r="F28">
        <f t="shared" si="1"/>
        <v>3.1678524374176544</v>
      </c>
      <c r="G28">
        <f t="shared" si="2"/>
        <v>19.975467391304345</v>
      </c>
      <c r="H28">
        <f t="shared" si="3"/>
        <v>370.33462134387344</v>
      </c>
      <c r="I28" s="4">
        <f t="shared" si="4"/>
        <v>5.1178455202211124</v>
      </c>
      <c r="J28" s="3">
        <f t="shared" si="7"/>
        <v>2.9387160000000003</v>
      </c>
      <c r="K28" s="3">
        <f t="shared" si="5"/>
        <v>50.492399999999996</v>
      </c>
      <c r="L28" s="3">
        <f t="shared" si="6"/>
        <v>5.5000086466470224</v>
      </c>
    </row>
    <row r="29" spans="1:12">
      <c r="A29" s="2" t="s">
        <v>220</v>
      </c>
      <c r="B29">
        <v>4.9394999999999998</v>
      </c>
      <c r="C29">
        <v>37.573799999999999</v>
      </c>
      <c r="D29">
        <v>11.100899999999999</v>
      </c>
      <c r="E29">
        <f t="shared" si="0"/>
        <v>0.44496392184417483</v>
      </c>
      <c r="F29">
        <f t="shared" si="1"/>
        <v>3.3847525876280304</v>
      </c>
      <c r="G29">
        <f t="shared" si="2"/>
        <v>19.944617868821449</v>
      </c>
      <c r="H29">
        <f t="shared" si="3"/>
        <v>395.69111650406728</v>
      </c>
      <c r="I29" s="4">
        <f t="shared" si="4"/>
        <v>4.7985811178901381</v>
      </c>
      <c r="J29" s="3">
        <f t="shared" si="7"/>
        <v>21.457188000000002</v>
      </c>
      <c r="K29" s="3">
        <f t="shared" si="5"/>
        <v>394.5249</v>
      </c>
      <c r="L29" s="3">
        <f t="shared" si="6"/>
        <v>5.1581999848031925</v>
      </c>
    </row>
    <row r="30" spans="1:12">
      <c r="A30" s="2" t="s">
        <v>149</v>
      </c>
      <c r="B30">
        <v>0.71330000000000005</v>
      </c>
      <c r="C30">
        <v>4.4583000000000004</v>
      </c>
      <c r="D30">
        <v>1.5086999999999999</v>
      </c>
      <c r="E30">
        <f t="shared" si="0"/>
        <v>0.47279114469410755</v>
      </c>
      <c r="F30">
        <f t="shared" si="1"/>
        <v>2.9550606482402073</v>
      </c>
      <c r="G30">
        <f t="shared" si="2"/>
        <v>21.191917478623981</v>
      </c>
      <c r="H30">
        <f t="shared" si="3"/>
        <v>345.45841002187319</v>
      </c>
      <c r="I30" s="4">
        <f t="shared" si="4"/>
        <v>5.7798714167506766</v>
      </c>
      <c r="J30" s="3">
        <f t="shared" si="7"/>
        <v>3.0985752000000004</v>
      </c>
      <c r="K30" s="3">
        <f t="shared" si="5"/>
        <v>46.812150000000003</v>
      </c>
      <c r="L30" s="3">
        <f t="shared" si="6"/>
        <v>6.2082351790793053</v>
      </c>
    </row>
    <row r="31" spans="1:12">
      <c r="A31" s="2" t="s">
        <v>221</v>
      </c>
      <c r="B31">
        <v>5.3353000000000002</v>
      </c>
      <c r="C31">
        <v>35.957999999999998</v>
      </c>
      <c r="D31">
        <v>10.940099999999999</v>
      </c>
      <c r="E31">
        <f t="shared" si="0"/>
        <v>0.48768292794398593</v>
      </c>
      <c r="F31">
        <f t="shared" si="1"/>
        <v>3.2868072503907642</v>
      </c>
      <c r="G31">
        <f t="shared" si="2"/>
        <v>21.859411879233281</v>
      </c>
      <c r="H31">
        <f t="shared" si="3"/>
        <v>384.24091479968189</v>
      </c>
      <c r="I31" s="4">
        <f t="shared" si="4"/>
        <v>5.382761461434753</v>
      </c>
      <c r="J31" s="3">
        <f t="shared" si="7"/>
        <v>23.176543200000001</v>
      </c>
      <c r="K31" s="3">
        <f t="shared" si="5"/>
        <v>377.55899999999997</v>
      </c>
      <c r="L31" s="3">
        <f t="shared" si="6"/>
        <v>5.7835007633533015</v>
      </c>
    </row>
    <row r="32" spans="1:12">
      <c r="A32" s="2" t="s">
        <v>150</v>
      </c>
      <c r="B32">
        <v>5.4300000000000001E-2</v>
      </c>
      <c r="C32">
        <v>5.0563000000000002</v>
      </c>
      <c r="D32">
        <v>1.4775</v>
      </c>
      <c r="E32">
        <f t="shared" si="0"/>
        <v>3.6751269035532996E-2</v>
      </c>
      <c r="F32">
        <f t="shared" si="1"/>
        <v>3.4221996615905246</v>
      </c>
      <c r="G32">
        <f t="shared" si="2"/>
        <v>1.6473021319796954</v>
      </c>
      <c r="H32">
        <f t="shared" si="3"/>
        <v>400.0688292385787</v>
      </c>
      <c r="I32" s="4">
        <f t="shared" si="4"/>
        <v>0.4100662142591831</v>
      </c>
      <c r="J32" s="3">
        <f t="shared" si="7"/>
        <v>0.23587920000000001</v>
      </c>
      <c r="K32" s="3">
        <f t="shared" si="5"/>
        <v>53.091149999999999</v>
      </c>
      <c r="L32" s="3">
        <f t="shared" si="6"/>
        <v>0.44232578401348488</v>
      </c>
    </row>
    <row r="33" spans="1:12">
      <c r="A33" s="2" t="s">
        <v>222</v>
      </c>
      <c r="B33">
        <v>0.33639999999999998</v>
      </c>
      <c r="C33">
        <v>39.375500000000002</v>
      </c>
      <c r="D33">
        <v>11.127800000000001</v>
      </c>
      <c r="E33">
        <f t="shared" si="0"/>
        <v>3.0230593648340191E-2</v>
      </c>
      <c r="F33">
        <f t="shared" si="1"/>
        <v>3.5384802027354914</v>
      </c>
      <c r="G33">
        <f t="shared" si="2"/>
        <v>1.3550258990995523</v>
      </c>
      <c r="H33">
        <f t="shared" si="3"/>
        <v>413.66248962058989</v>
      </c>
      <c r="I33" s="4">
        <f t="shared" si="4"/>
        <v>0.32649848462486558</v>
      </c>
      <c r="J33" s="3">
        <f t="shared" si="7"/>
        <v>1.4613216</v>
      </c>
      <c r="K33" s="3">
        <f t="shared" si="5"/>
        <v>413.44275000000005</v>
      </c>
      <c r="L33" s="3">
        <f t="shared" si="6"/>
        <v>0.35220710039423964</v>
      </c>
    </row>
    <row r="34" spans="1:12">
      <c r="A34" s="2" t="s">
        <v>151</v>
      </c>
      <c r="B34">
        <v>4.1700000000000001E-2</v>
      </c>
      <c r="C34">
        <v>4.7866999999999997</v>
      </c>
      <c r="D34">
        <v>1.4455</v>
      </c>
      <c r="E34">
        <f t="shared" si="0"/>
        <v>2.8848149429263233E-2</v>
      </c>
      <c r="F34">
        <f t="shared" si="1"/>
        <v>3.3114493254929087</v>
      </c>
      <c r="G34">
        <f t="shared" si="2"/>
        <v>1.2930606018678659</v>
      </c>
      <c r="H34">
        <f t="shared" si="3"/>
        <v>387.12167194742301</v>
      </c>
      <c r="I34" s="4">
        <f t="shared" si="4"/>
        <v>0.33290719777313621</v>
      </c>
      <c r="J34" s="3">
        <f t="shared" si="7"/>
        <v>0.18114480000000002</v>
      </c>
      <c r="K34" s="3">
        <f t="shared" si="5"/>
        <v>50.260349999999995</v>
      </c>
      <c r="L34" s="3">
        <f t="shared" si="6"/>
        <v>0.35911861993431654</v>
      </c>
    </row>
    <row r="35" spans="1:12">
      <c r="A35" s="2" t="s">
        <v>223</v>
      </c>
      <c r="B35">
        <v>0.34720000000000001</v>
      </c>
      <c r="C35">
        <v>40.2224</v>
      </c>
      <c r="D35">
        <v>10.9765</v>
      </c>
      <c r="E35">
        <f t="shared" si="0"/>
        <v>3.163121213501572E-2</v>
      </c>
      <c r="F35">
        <f t="shared" si="1"/>
        <v>3.6644103311620282</v>
      </c>
      <c r="G35">
        <f t="shared" si="2"/>
        <v>1.4178058215278095</v>
      </c>
      <c r="H35">
        <f t="shared" si="3"/>
        <v>428.38422535416572</v>
      </c>
      <c r="I35" s="4">
        <f t="shared" si="4"/>
        <v>0.32987415570128892</v>
      </c>
      <c r="J35" s="3">
        <f t="shared" si="7"/>
        <v>1.5082368000000002</v>
      </c>
      <c r="K35" s="3">
        <f t="shared" si="5"/>
        <v>422.33519999999999</v>
      </c>
      <c r="L35" s="3">
        <f t="shared" si="6"/>
        <v>0.35584762415743043</v>
      </c>
    </row>
    <row r="36" spans="1:12">
      <c r="A36" s="2" t="s">
        <v>152</v>
      </c>
      <c r="B36">
        <v>4.3200000000000002E-2</v>
      </c>
      <c r="C36">
        <v>4.9347000000000003</v>
      </c>
      <c r="D36">
        <v>1.5147999999999999</v>
      </c>
      <c r="E36">
        <f t="shared" si="0"/>
        <v>2.8518616318986008E-2</v>
      </c>
      <c r="F36">
        <f t="shared" si="1"/>
        <v>3.2576577766041726</v>
      </c>
      <c r="G36">
        <f t="shared" si="2"/>
        <v>1.2782899392659099</v>
      </c>
      <c r="H36">
        <f t="shared" si="3"/>
        <v>380.83322471613417</v>
      </c>
      <c r="I36" s="4">
        <f t="shared" si="4"/>
        <v>0.33453321615254411</v>
      </c>
      <c r="J36" s="3">
        <f t="shared" si="7"/>
        <v>0.18766080000000002</v>
      </c>
      <c r="K36" s="3">
        <f t="shared" si="5"/>
        <v>51.814350000000005</v>
      </c>
      <c r="L36" s="3">
        <f t="shared" si="6"/>
        <v>0.36087219919580493</v>
      </c>
    </row>
    <row r="37" spans="1:12">
      <c r="A37" s="2" t="s">
        <v>224</v>
      </c>
      <c r="B37">
        <v>0.28620000000000001</v>
      </c>
      <c r="C37">
        <v>37.234400000000001</v>
      </c>
      <c r="D37">
        <v>10.650600000000001</v>
      </c>
      <c r="E37">
        <f t="shared" si="0"/>
        <v>2.6871725536589487E-2</v>
      </c>
      <c r="F37">
        <f t="shared" si="1"/>
        <v>3.4959908361970218</v>
      </c>
      <c r="G37">
        <f t="shared" si="2"/>
        <v>1.2044713537265506</v>
      </c>
      <c r="H37">
        <f t="shared" si="3"/>
        <v>408.69531271477661</v>
      </c>
      <c r="I37" s="4">
        <f t="shared" si="4"/>
        <v>0.29384532525766283</v>
      </c>
      <c r="J37" s="3">
        <f t="shared" si="7"/>
        <v>1.2432528</v>
      </c>
      <c r="K37" s="3">
        <f t="shared" si="5"/>
        <v>390.96120000000002</v>
      </c>
      <c r="L37" s="3">
        <f t="shared" si="6"/>
        <v>0.31699099567183703</v>
      </c>
    </row>
    <row r="38" spans="1:12">
      <c r="A38" s="2" t="s">
        <v>81</v>
      </c>
      <c r="B38">
        <v>0.52039999999999997</v>
      </c>
      <c r="C38">
        <v>7.476</v>
      </c>
      <c r="D38">
        <v>2.5893999999999999</v>
      </c>
      <c r="E38">
        <f t="shared" si="0"/>
        <v>0.20097319842434541</v>
      </c>
      <c r="F38">
        <f t="shared" si="1"/>
        <v>2.8871553255580444</v>
      </c>
      <c r="G38">
        <f t="shared" si="2"/>
        <v>9.0082216729744342</v>
      </c>
      <c r="H38">
        <f t="shared" si="3"/>
        <v>337.52000617903764</v>
      </c>
      <c r="I38" s="4">
        <f t="shared" si="4"/>
        <v>2.5995635994252897</v>
      </c>
      <c r="J38" s="3">
        <f t="shared" si="7"/>
        <v>2.2606176000000002</v>
      </c>
      <c r="K38" s="3">
        <f t="shared" si="5"/>
        <v>78.498000000000005</v>
      </c>
      <c r="L38" s="3">
        <f t="shared" si="6"/>
        <v>2.7992277074341598</v>
      </c>
    </row>
    <row r="39" spans="1:12">
      <c r="A39" s="2" t="s">
        <v>153</v>
      </c>
      <c r="B39">
        <v>0.3664</v>
      </c>
      <c r="C39">
        <v>5.1661999999999999</v>
      </c>
      <c r="D39">
        <v>1.4983</v>
      </c>
      <c r="E39">
        <f t="shared" si="0"/>
        <v>0.24454381632516853</v>
      </c>
      <c r="F39">
        <f t="shared" si="1"/>
        <v>3.4480411132616968</v>
      </c>
      <c r="G39">
        <f t="shared" si="2"/>
        <v>10.961187479143028</v>
      </c>
      <c r="H39">
        <f t="shared" si="3"/>
        <v>403.08979830474539</v>
      </c>
      <c r="I39" s="4">
        <f t="shared" si="4"/>
        <v>2.6473037996494853</v>
      </c>
      <c r="J39" s="3">
        <f t="shared" si="7"/>
        <v>1.5916416000000002</v>
      </c>
      <c r="K39" s="3">
        <f t="shared" si="5"/>
        <v>54.245100000000001</v>
      </c>
      <c r="L39" s="3">
        <f t="shared" si="6"/>
        <v>2.8505273667330187</v>
      </c>
    </row>
    <row r="40" spans="1:12">
      <c r="A40" s="2" t="s">
        <v>82</v>
      </c>
      <c r="B40">
        <v>1.181</v>
      </c>
      <c r="C40">
        <v>7.0979000000000001</v>
      </c>
      <c r="D40">
        <v>2.5535000000000001</v>
      </c>
      <c r="E40">
        <f t="shared" si="0"/>
        <v>0.46250244762091247</v>
      </c>
      <c r="F40">
        <f t="shared" si="1"/>
        <v>2.7796749559428235</v>
      </c>
      <c r="G40">
        <f t="shared" si="2"/>
        <v>20.73074720971216</v>
      </c>
      <c r="H40">
        <f t="shared" si="3"/>
        <v>324.95512104953985</v>
      </c>
      <c r="I40" s="4">
        <f t="shared" si="4"/>
        <v>5.9969900748632403</v>
      </c>
      <c r="J40" s="3">
        <f t="shared" si="7"/>
        <v>5.1302640000000004</v>
      </c>
      <c r="K40" s="3">
        <f t="shared" si="5"/>
        <v>74.527950000000004</v>
      </c>
      <c r="L40" s="3">
        <f t="shared" si="6"/>
        <v>6.4403452480117123</v>
      </c>
    </row>
    <row r="41" spans="1:12">
      <c r="A41" s="2" t="s">
        <v>154</v>
      </c>
      <c r="B41">
        <v>0.75449999999999995</v>
      </c>
      <c r="C41">
        <v>4.6540999999999997</v>
      </c>
      <c r="D41">
        <v>1.4282999999999999</v>
      </c>
      <c r="E41">
        <f t="shared" si="0"/>
        <v>0.52825036756983823</v>
      </c>
      <c r="F41">
        <f t="shared" si="1"/>
        <v>3.258489112931457</v>
      </c>
      <c r="G41">
        <f t="shared" si="2"/>
        <v>23.677766225582861</v>
      </c>
      <c r="H41">
        <f t="shared" si="3"/>
        <v>380.93041125813903</v>
      </c>
      <c r="I41" s="4">
        <f t="shared" si="4"/>
        <v>5.8520236473805474</v>
      </c>
      <c r="J41" s="3">
        <f t="shared" si="7"/>
        <v>3.2775479999999999</v>
      </c>
      <c r="K41" s="3">
        <f t="shared" si="5"/>
        <v>48.868049999999997</v>
      </c>
      <c r="L41" s="3">
        <f t="shared" si="6"/>
        <v>6.2853781061250853</v>
      </c>
    </row>
    <row r="42" spans="1:12">
      <c r="A42" s="2" t="s">
        <v>83</v>
      </c>
      <c r="B42">
        <v>1.7645999999999999</v>
      </c>
      <c r="C42">
        <v>6.4006999999999996</v>
      </c>
      <c r="D42">
        <v>2.5074999999999998</v>
      </c>
      <c r="E42">
        <f t="shared" si="0"/>
        <v>0.70372881355932204</v>
      </c>
      <c r="F42">
        <f t="shared" si="1"/>
        <v>2.5526221335992023</v>
      </c>
      <c r="G42">
        <f t="shared" si="2"/>
        <v>31.543236610169494</v>
      </c>
      <c r="H42">
        <f t="shared" si="3"/>
        <v>298.41173790628113</v>
      </c>
      <c r="I42" s="4">
        <f t="shared" si="4"/>
        <v>9.5598609041721954</v>
      </c>
      <c r="J42" s="3">
        <f t="shared" si="7"/>
        <v>7.6654224000000006</v>
      </c>
      <c r="K42" s="3">
        <f t="shared" si="5"/>
        <v>67.207349999999991</v>
      </c>
      <c r="L42" s="3">
        <f t="shared" si="6"/>
        <v>10.237930497682495</v>
      </c>
    </row>
    <row r="43" spans="1:12">
      <c r="A43" s="2" t="s">
        <v>155</v>
      </c>
      <c r="B43">
        <v>1.1076999999999999</v>
      </c>
      <c r="C43">
        <v>4.3029000000000002</v>
      </c>
      <c r="D43">
        <v>1.4408000000000001</v>
      </c>
      <c r="E43">
        <f t="shared" si="0"/>
        <v>0.76880899500277611</v>
      </c>
      <c r="F43">
        <f t="shared" si="1"/>
        <v>2.9864658523042755</v>
      </c>
      <c r="G43">
        <f t="shared" si="2"/>
        <v>34.460325583009435</v>
      </c>
      <c r="H43">
        <f t="shared" si="3"/>
        <v>349.12980399777899</v>
      </c>
      <c r="I43" s="4">
        <f t="shared" si="4"/>
        <v>8.9836319877859889</v>
      </c>
      <c r="J43" s="3">
        <f t="shared" si="7"/>
        <v>4.8118487999999999</v>
      </c>
      <c r="K43" s="3">
        <f t="shared" si="5"/>
        <v>45.18045</v>
      </c>
      <c r="L43" s="3">
        <f t="shared" si="6"/>
        <v>9.625180108741068</v>
      </c>
    </row>
    <row r="44" spans="1:12">
      <c r="A44" s="2" t="s">
        <v>84</v>
      </c>
      <c r="B44">
        <v>0.79959999999999998</v>
      </c>
      <c r="C44">
        <v>7.4196</v>
      </c>
      <c r="D44">
        <v>2.5729000000000002</v>
      </c>
      <c r="E44">
        <f t="shared" si="0"/>
        <v>0.31077772163706319</v>
      </c>
      <c r="F44">
        <f t="shared" si="1"/>
        <v>2.8837498542500679</v>
      </c>
      <c r="G44">
        <f t="shared" si="2"/>
        <v>13.929989816938082</v>
      </c>
      <c r="H44">
        <f t="shared" si="3"/>
        <v>337.12189296124996</v>
      </c>
      <c r="I44" s="4">
        <f t="shared" si="4"/>
        <v>3.9680715302529057</v>
      </c>
      <c r="J44" s="3">
        <f t="shared" si="7"/>
        <v>3.4734624000000003</v>
      </c>
      <c r="K44" s="3">
        <f t="shared" si="5"/>
        <v>77.905799999999999</v>
      </c>
      <c r="L44" s="3">
        <f t="shared" si="6"/>
        <v>4.2682402095598251</v>
      </c>
    </row>
    <row r="45" spans="1:12">
      <c r="A45" s="2" t="s">
        <v>156</v>
      </c>
      <c r="B45">
        <v>0.47149999999999997</v>
      </c>
      <c r="C45">
        <v>4.9378000000000002</v>
      </c>
      <c r="D45">
        <v>1.4329000000000001</v>
      </c>
      <c r="E45">
        <f t="shared" si="0"/>
        <v>0.3290529695024077</v>
      </c>
      <c r="F45">
        <f t="shared" si="1"/>
        <v>3.4460185637518319</v>
      </c>
      <c r="G45">
        <f t="shared" si="2"/>
        <v>14.749141252006421</v>
      </c>
      <c r="H45">
        <f t="shared" si="3"/>
        <v>402.85335417684416</v>
      </c>
      <c r="I45" s="4">
        <f t="shared" si="4"/>
        <v>3.531861378572466</v>
      </c>
      <c r="J45" s="3">
        <f t="shared" si="7"/>
        <v>2.0481959999999999</v>
      </c>
      <c r="K45" s="3">
        <f t="shared" si="5"/>
        <v>51.846900000000005</v>
      </c>
      <c r="L45" s="3">
        <f t="shared" si="6"/>
        <v>3.8003383461827398</v>
      </c>
    </row>
    <row r="46" spans="1:12">
      <c r="A46" s="2" t="s">
        <v>85</v>
      </c>
      <c r="B46">
        <v>1.5208999999999999</v>
      </c>
      <c r="C46">
        <v>6.6493000000000002</v>
      </c>
      <c r="D46">
        <v>2.5289999999999999</v>
      </c>
      <c r="E46">
        <f t="shared" si="0"/>
        <v>0.60138394622380387</v>
      </c>
      <c r="F46">
        <f t="shared" si="1"/>
        <v>2.629221035982602</v>
      </c>
      <c r="G46">
        <f t="shared" si="2"/>
        <v>26.955832621589561</v>
      </c>
      <c r="H46">
        <f t="shared" si="3"/>
        <v>307.36645599051008</v>
      </c>
      <c r="I46" s="4">
        <f t="shared" si="4"/>
        <v>8.0628284561862724</v>
      </c>
      <c r="J46" s="3">
        <f t="shared" si="7"/>
        <v>6.6067895999999999</v>
      </c>
      <c r="K46" s="3">
        <f t="shared" si="5"/>
        <v>69.81765</v>
      </c>
      <c r="L46" s="3">
        <f t="shared" si="6"/>
        <v>8.6448649601874212</v>
      </c>
    </row>
    <row r="47" spans="1:12">
      <c r="A47" s="2" t="s">
        <v>157</v>
      </c>
      <c r="B47">
        <v>0.87709999999999999</v>
      </c>
      <c r="C47">
        <v>4.3404999999999996</v>
      </c>
      <c r="D47">
        <v>1.3985000000000001</v>
      </c>
      <c r="E47">
        <f t="shared" si="0"/>
        <v>0.62717196996782265</v>
      </c>
      <c r="F47">
        <f t="shared" si="1"/>
        <v>3.1036825169824809</v>
      </c>
      <c r="G47">
        <f t="shared" si="2"/>
        <v>28.111729209867715</v>
      </c>
      <c r="H47">
        <f t="shared" si="3"/>
        <v>362.83290096531994</v>
      </c>
      <c r="I47" s="4">
        <f t="shared" si="4"/>
        <v>7.1907188486693032</v>
      </c>
      <c r="J47" s="3">
        <f t="shared" si="7"/>
        <v>3.8101224</v>
      </c>
      <c r="K47" s="3">
        <f t="shared" si="5"/>
        <v>45.575249999999997</v>
      </c>
      <c r="L47" s="3">
        <f t="shared" si="6"/>
        <v>7.7150828572065207</v>
      </c>
    </row>
    <row r="48" spans="1:12">
      <c r="A48" s="2" t="s">
        <v>86</v>
      </c>
      <c r="B48">
        <v>1.4822</v>
      </c>
      <c r="C48">
        <v>6.4263000000000003</v>
      </c>
      <c r="D48">
        <v>2.4923999999999999</v>
      </c>
      <c r="E48">
        <f t="shared" si="0"/>
        <v>0.59468785106724442</v>
      </c>
      <c r="F48">
        <f t="shared" si="1"/>
        <v>2.5783582089552239</v>
      </c>
      <c r="G48">
        <f t="shared" si="2"/>
        <v>26.655693548387099</v>
      </c>
      <c r="H48">
        <f t="shared" si="3"/>
        <v>301.42038805970151</v>
      </c>
      <c r="I48" s="4">
        <f t="shared" si="4"/>
        <v>8.1248512289382049</v>
      </c>
      <c r="J48" s="3">
        <f t="shared" si="7"/>
        <v>6.4386768000000005</v>
      </c>
      <c r="K48" s="3">
        <f t="shared" si="5"/>
        <v>67.476150000000004</v>
      </c>
      <c r="L48" s="3">
        <f t="shared" si="6"/>
        <v>8.7109407932753218</v>
      </c>
    </row>
    <row r="49" spans="1:12">
      <c r="A49" s="2" t="s">
        <v>158</v>
      </c>
      <c r="B49">
        <v>1.2714000000000001</v>
      </c>
      <c r="C49">
        <v>4.0644999999999998</v>
      </c>
      <c r="D49">
        <v>1.3805000000000001</v>
      </c>
      <c r="E49">
        <f t="shared" si="0"/>
        <v>0.92097066280333217</v>
      </c>
      <c r="F49">
        <f t="shared" si="1"/>
        <v>2.9442231075697207</v>
      </c>
      <c r="G49">
        <f t="shared" si="2"/>
        <v>41.280668018833758</v>
      </c>
      <c r="H49">
        <f t="shared" si="3"/>
        <v>344.19145816733061</v>
      </c>
      <c r="I49" s="4">
        <f t="shared" si="4"/>
        <v>10.709118821965664</v>
      </c>
      <c r="J49" s="3">
        <f t="shared" si="7"/>
        <v>5.5229616000000004</v>
      </c>
      <c r="K49" s="3">
        <f t="shared" si="5"/>
        <v>42.677250000000001</v>
      </c>
      <c r="L49" s="3">
        <f t="shared" si="6"/>
        <v>11.458376253269394</v>
      </c>
    </row>
    <row r="50" spans="1:12">
      <c r="A50" s="2" t="s">
        <v>87</v>
      </c>
      <c r="B50">
        <v>0.95660000000000001</v>
      </c>
      <c r="C50">
        <v>6.9564000000000004</v>
      </c>
      <c r="D50">
        <v>2.4552</v>
      </c>
      <c r="E50">
        <f t="shared" si="0"/>
        <v>0.38962202671880092</v>
      </c>
      <c r="F50">
        <f t="shared" si="1"/>
        <v>2.8333333333333335</v>
      </c>
      <c r="G50">
        <f t="shared" si="2"/>
        <v>17.464028103616815</v>
      </c>
      <c r="H50">
        <f t="shared" si="3"/>
        <v>331.22800000000001</v>
      </c>
      <c r="I50" s="4">
        <f t="shared" si="4"/>
        <v>5.0084391658151786</v>
      </c>
      <c r="J50" s="3">
        <f t="shared" si="7"/>
        <v>4.1554704000000005</v>
      </c>
      <c r="K50" s="3">
        <f t="shared" si="5"/>
        <v>73.042200000000008</v>
      </c>
      <c r="L50" s="3">
        <f t="shared" si="6"/>
        <v>5.3828961139221114</v>
      </c>
    </row>
    <row r="51" spans="1:12">
      <c r="A51" s="2" t="s">
        <v>225</v>
      </c>
      <c r="B51">
        <v>4.6536</v>
      </c>
      <c r="C51">
        <v>37.1569</v>
      </c>
      <c r="D51">
        <v>10.9748</v>
      </c>
      <c r="E51">
        <f t="shared" si="0"/>
        <v>0.42402595035900426</v>
      </c>
      <c r="F51">
        <f t="shared" si="1"/>
        <v>3.3856562306374602</v>
      </c>
      <c r="G51">
        <f t="shared" si="2"/>
        <v>19.006115172941648</v>
      </c>
      <c r="H51">
        <f t="shared" si="3"/>
        <v>395.79675598644167</v>
      </c>
      <c r="I51" s="4">
        <f t="shared" si="4"/>
        <v>4.5819632636146252</v>
      </c>
      <c r="J51" s="3">
        <f t="shared" si="7"/>
        <v>20.2152384</v>
      </c>
      <c r="K51" s="3">
        <f t="shared" si="5"/>
        <v>390.14744999999999</v>
      </c>
      <c r="L51" s="3">
        <f t="shared" si="6"/>
        <v>4.9261882162871613</v>
      </c>
    </row>
    <row r="52" spans="1:12">
      <c r="A52" s="2" t="s">
        <v>88</v>
      </c>
      <c r="B52">
        <v>1.6856</v>
      </c>
      <c r="C52">
        <v>6.2173999999999996</v>
      </c>
      <c r="D52">
        <v>2.5670999999999999</v>
      </c>
      <c r="E52">
        <f t="shared" si="0"/>
        <v>0.65661641541038529</v>
      </c>
      <c r="F52">
        <f t="shared" si="1"/>
        <v>2.4219547349148844</v>
      </c>
      <c r="G52">
        <f t="shared" si="2"/>
        <v>29.431517587939702</v>
      </c>
      <c r="H52">
        <f t="shared" si="3"/>
        <v>283.13619633048967</v>
      </c>
      <c r="I52" s="4">
        <f t="shared" si="4"/>
        <v>9.4160453167022968</v>
      </c>
      <c r="J52" s="3">
        <f t="shared" si="7"/>
        <v>7.3222464</v>
      </c>
      <c r="K52" s="3">
        <f t="shared" si="5"/>
        <v>65.282699999999991</v>
      </c>
      <c r="L52" s="3">
        <f t="shared" si="6"/>
        <v>10.085051725897289</v>
      </c>
    </row>
    <row r="53" spans="1:12">
      <c r="A53" s="2" t="s">
        <v>226</v>
      </c>
      <c r="B53">
        <v>8.6974999999999998</v>
      </c>
      <c r="C53">
        <v>35.212200000000003</v>
      </c>
      <c r="D53">
        <v>10.943</v>
      </c>
      <c r="E53">
        <f t="shared" si="0"/>
        <v>0.79480032897742847</v>
      </c>
      <c r="F53">
        <f t="shared" si="1"/>
        <v>3.2177830576624329</v>
      </c>
      <c r="G53">
        <f t="shared" si="2"/>
        <v>35.62533514575528</v>
      </c>
      <c r="H53">
        <f t="shared" si="3"/>
        <v>376.17171057296906</v>
      </c>
      <c r="I53" s="4">
        <f t="shared" si="4"/>
        <v>8.6511876459864077</v>
      </c>
      <c r="J53" s="3">
        <f t="shared" si="7"/>
        <v>37.781939999999999</v>
      </c>
      <c r="K53" s="3">
        <f t="shared" si="5"/>
        <v>369.72810000000004</v>
      </c>
      <c r="L53" s="3">
        <f t="shared" si="6"/>
        <v>9.2714132883695317</v>
      </c>
    </row>
    <row r="54" spans="1:12">
      <c r="A54" s="2" t="s">
        <v>89</v>
      </c>
      <c r="B54">
        <v>2.4257</v>
      </c>
      <c r="C54">
        <v>5.7866999999999997</v>
      </c>
      <c r="D54">
        <v>2.4481999999999999</v>
      </c>
      <c r="E54">
        <f t="shared" si="0"/>
        <v>0.990809574381178</v>
      </c>
      <c r="F54">
        <f t="shared" si="1"/>
        <v>2.3636549301527654</v>
      </c>
      <c r="G54">
        <f t="shared" si="2"/>
        <v>44.411057552487541</v>
      </c>
      <c r="H54">
        <f t="shared" si="3"/>
        <v>276.32071595457887</v>
      </c>
      <c r="I54" s="4">
        <f t="shared" si="4"/>
        <v>13.846790751933117</v>
      </c>
      <c r="J54" s="3">
        <f t="shared" si="7"/>
        <v>10.537240800000001</v>
      </c>
      <c r="K54" s="3">
        <f t="shared" si="5"/>
        <v>60.760349999999995</v>
      </c>
      <c r="L54" s="3">
        <f t="shared" si="6"/>
        <v>14.779238234793205</v>
      </c>
    </row>
    <row r="55" spans="1:12">
      <c r="A55" s="2" t="s">
        <v>227</v>
      </c>
      <c r="B55">
        <v>12.1358</v>
      </c>
      <c r="C55">
        <v>32.574599999999997</v>
      </c>
      <c r="D55">
        <v>10.9809</v>
      </c>
      <c r="E55">
        <f t="shared" si="0"/>
        <v>1.1051735285814459</v>
      </c>
      <c r="F55">
        <f t="shared" si="1"/>
        <v>2.966478157528071</v>
      </c>
      <c r="G55">
        <f t="shared" si="2"/>
        <v>49.537193071606147</v>
      </c>
      <c r="H55">
        <f t="shared" si="3"/>
        <v>346.79316252766159</v>
      </c>
      <c r="I55" s="4">
        <f t="shared" si="4"/>
        <v>12.498965161703014</v>
      </c>
      <c r="J55" s="3">
        <f t="shared" si="7"/>
        <v>52.7179152</v>
      </c>
      <c r="K55" s="3">
        <f t="shared" si="5"/>
        <v>342.03329999999994</v>
      </c>
      <c r="L55" s="3">
        <f t="shared" si="6"/>
        <v>13.354718914111658</v>
      </c>
    </row>
    <row r="56" spans="1:12">
      <c r="A56" s="2" t="s">
        <v>90</v>
      </c>
      <c r="B56">
        <v>1.0651999999999999</v>
      </c>
      <c r="C56">
        <v>6.8254000000000001</v>
      </c>
      <c r="D56">
        <v>2.5249999999999999</v>
      </c>
      <c r="E56">
        <f t="shared" si="0"/>
        <v>0.42186138613861385</v>
      </c>
      <c r="F56">
        <f t="shared" si="1"/>
        <v>2.7031287128712873</v>
      </c>
      <c r="G56">
        <f t="shared" si="2"/>
        <v>18.90909291089109</v>
      </c>
      <c r="H56">
        <f t="shared" si="3"/>
        <v>316.00655904950497</v>
      </c>
      <c r="I56" s="4">
        <f t="shared" si="4"/>
        <v>5.6459269073298186</v>
      </c>
      <c r="J56" s="3">
        <f t="shared" si="7"/>
        <v>4.6272288000000001</v>
      </c>
      <c r="K56" s="3">
        <f t="shared" si="5"/>
        <v>71.666700000000006</v>
      </c>
      <c r="L56" s="3">
        <f t="shared" si="6"/>
        <v>6.0650026454005346</v>
      </c>
    </row>
    <row r="57" spans="1:12">
      <c r="A57" s="2" t="s">
        <v>228</v>
      </c>
      <c r="B57">
        <v>5.0960999999999999</v>
      </c>
      <c r="C57">
        <v>36.754300000000001</v>
      </c>
      <c r="D57">
        <v>10.942500000000001</v>
      </c>
      <c r="E57">
        <f t="shared" si="0"/>
        <v>0.46571624400274153</v>
      </c>
      <c r="F57">
        <f t="shared" si="1"/>
        <v>3.3588576650673976</v>
      </c>
      <c r="G57">
        <f t="shared" si="2"/>
        <v>20.874799204934885</v>
      </c>
      <c r="H57">
        <f t="shared" si="3"/>
        <v>392.66389647703903</v>
      </c>
      <c r="I57" s="4">
        <f t="shared" si="4"/>
        <v>5.0478466520551084</v>
      </c>
      <c r="J57" s="3">
        <f t="shared" si="7"/>
        <v>22.1374584</v>
      </c>
      <c r="K57" s="3">
        <f t="shared" si="5"/>
        <v>385.92015000000004</v>
      </c>
      <c r="L57" s="3">
        <f t="shared" si="6"/>
        <v>5.425081641487167</v>
      </c>
    </row>
    <row r="58" spans="1:12">
      <c r="A58" s="2" t="s">
        <v>91</v>
      </c>
      <c r="B58">
        <v>1.867</v>
      </c>
      <c r="C58">
        <v>6.2298999999999998</v>
      </c>
      <c r="D58">
        <v>2.4891000000000001</v>
      </c>
      <c r="E58">
        <f t="shared" si="0"/>
        <v>0.75007030653649909</v>
      </c>
      <c r="F58">
        <f t="shared" si="1"/>
        <v>2.5028725242055359</v>
      </c>
      <c r="G58">
        <f t="shared" si="2"/>
        <v>33.620401349885498</v>
      </c>
      <c r="H58">
        <f t="shared" si="3"/>
        <v>292.59580956972394</v>
      </c>
      <c r="I58" s="4">
        <f t="shared" si="4"/>
        <v>10.306171252222251</v>
      </c>
      <c r="J58" s="3">
        <f t="shared" si="7"/>
        <v>8.1102480000000003</v>
      </c>
      <c r="K58" s="3">
        <f t="shared" si="5"/>
        <v>65.41395</v>
      </c>
      <c r="L58" s="3">
        <f t="shared" si="6"/>
        <v>11.030719437429294</v>
      </c>
    </row>
    <row r="59" spans="1:12">
      <c r="A59" s="2" t="s">
        <v>229</v>
      </c>
      <c r="B59">
        <v>9.0264000000000006</v>
      </c>
      <c r="C59">
        <v>34.407800000000002</v>
      </c>
      <c r="D59">
        <v>10.9612</v>
      </c>
      <c r="E59">
        <f t="shared" si="0"/>
        <v>0.82348647958252752</v>
      </c>
      <c r="F59">
        <f t="shared" si="1"/>
        <v>3.1390541181622451</v>
      </c>
      <c r="G59">
        <f t="shared" si="2"/>
        <v>36.911134474327632</v>
      </c>
      <c r="H59">
        <f t="shared" si="3"/>
        <v>366.9679826296391</v>
      </c>
      <c r="I59" s="4">
        <f t="shared" si="4"/>
        <v>9.1391539971169031</v>
      </c>
      <c r="J59" s="3">
        <f t="shared" si="7"/>
        <v>39.210681600000008</v>
      </c>
      <c r="K59" s="3">
        <f t="shared" si="5"/>
        <v>361.28190000000001</v>
      </c>
      <c r="L59" s="3">
        <f t="shared" si="6"/>
        <v>9.7906137095848784</v>
      </c>
    </row>
    <row r="60" spans="1:12">
      <c r="A60" s="2" t="s">
        <v>92</v>
      </c>
      <c r="B60">
        <v>2.4121999999999999</v>
      </c>
      <c r="C60">
        <v>5.7140000000000004</v>
      </c>
      <c r="D60">
        <v>2.56</v>
      </c>
      <c r="E60">
        <f t="shared" si="0"/>
        <v>0.942265625</v>
      </c>
      <c r="F60">
        <f t="shared" si="1"/>
        <v>2.2320312499999999</v>
      </c>
      <c r="G60">
        <f t="shared" si="2"/>
        <v>42.235172109375</v>
      </c>
      <c r="H60">
        <f t="shared" si="3"/>
        <v>260.93338124999997</v>
      </c>
      <c r="I60" s="4">
        <f t="shared" si="4"/>
        <v>13.93125099597964</v>
      </c>
      <c r="J60" s="3">
        <f t="shared" si="7"/>
        <v>10.4785968</v>
      </c>
      <c r="K60" s="3">
        <f t="shared" si="5"/>
        <v>59.997000000000007</v>
      </c>
      <c r="L60" s="3">
        <f t="shared" si="6"/>
        <v>14.868404491467887</v>
      </c>
    </row>
    <row r="61" spans="1:12">
      <c r="A61" s="2" t="s">
        <v>230</v>
      </c>
      <c r="B61">
        <v>11.682700000000001</v>
      </c>
      <c r="C61">
        <v>31.106999999999999</v>
      </c>
      <c r="D61">
        <v>10.7278</v>
      </c>
      <c r="E61">
        <f t="shared" si="0"/>
        <v>1.0890117265422548</v>
      </c>
      <c r="F61">
        <f t="shared" si="1"/>
        <v>2.8996625589589664</v>
      </c>
      <c r="G61">
        <f t="shared" si="2"/>
        <v>48.812772618803486</v>
      </c>
      <c r="H61">
        <f t="shared" si="3"/>
        <v>338.98215179253901</v>
      </c>
      <c r="I61" s="4">
        <f t="shared" si="4"/>
        <v>12.587264439548651</v>
      </c>
      <c r="J61" s="3">
        <f t="shared" si="7"/>
        <v>50.749648800000003</v>
      </c>
      <c r="K61" s="3">
        <f t="shared" si="5"/>
        <v>326.62349999999998</v>
      </c>
      <c r="L61" s="3">
        <f t="shared" si="6"/>
        <v>13.448134548358205</v>
      </c>
    </row>
    <row r="62" spans="1:12">
      <c r="A62" s="2" t="s">
        <v>159</v>
      </c>
      <c r="B62">
        <v>0.5615</v>
      </c>
      <c r="C62">
        <v>4.3925000000000001</v>
      </c>
      <c r="D62">
        <v>1.3355999999999999</v>
      </c>
      <c r="E62">
        <f t="shared" si="0"/>
        <v>0.42041030248577421</v>
      </c>
      <c r="F62">
        <f t="shared" si="1"/>
        <v>3.2887840670859543</v>
      </c>
      <c r="G62">
        <f t="shared" si="2"/>
        <v>18.844050988319857</v>
      </c>
      <c r="H62">
        <f t="shared" si="3"/>
        <v>384.47201257861639</v>
      </c>
      <c r="I62" s="4">
        <f t="shared" si="4"/>
        <v>4.6722788132123103</v>
      </c>
      <c r="J62" s="3">
        <f t="shared" si="7"/>
        <v>2.4391560000000001</v>
      </c>
      <c r="K62" s="3">
        <f t="shared" si="5"/>
        <v>46.121250000000003</v>
      </c>
      <c r="L62" s="3">
        <f t="shared" si="6"/>
        <v>5.0229316451761132</v>
      </c>
    </row>
    <row r="63" spans="1:12">
      <c r="A63" s="2" t="s">
        <v>231</v>
      </c>
      <c r="B63">
        <v>3.8351000000000002</v>
      </c>
      <c r="C63">
        <v>37.278799999999997</v>
      </c>
      <c r="D63">
        <v>10.8447</v>
      </c>
      <c r="E63">
        <f t="shared" si="0"/>
        <v>0.35363818270676001</v>
      </c>
      <c r="F63">
        <f t="shared" si="1"/>
        <v>3.4375132553228767</v>
      </c>
      <c r="G63">
        <f t="shared" si="2"/>
        <v>15.851124263465104</v>
      </c>
      <c r="H63">
        <f t="shared" si="3"/>
        <v>401.85904960026556</v>
      </c>
      <c r="I63" s="4">
        <f t="shared" si="4"/>
        <v>3.7947661453503896</v>
      </c>
      <c r="J63" s="3">
        <f t="shared" si="7"/>
        <v>16.659674400000004</v>
      </c>
      <c r="K63" s="3">
        <f t="shared" si="5"/>
        <v>391.42739999999998</v>
      </c>
      <c r="L63" s="3">
        <f t="shared" si="6"/>
        <v>4.0823822769918152</v>
      </c>
    </row>
    <row r="64" spans="1:12">
      <c r="A64" s="2" t="s">
        <v>160</v>
      </c>
      <c r="B64">
        <v>1.0071000000000001</v>
      </c>
      <c r="C64">
        <v>4.3982000000000001</v>
      </c>
      <c r="D64">
        <v>1.4782999999999999</v>
      </c>
      <c r="E64">
        <f t="shared" si="0"/>
        <v>0.68125549617804249</v>
      </c>
      <c r="F64">
        <f t="shared" si="1"/>
        <v>2.97517418656565</v>
      </c>
      <c r="G64">
        <f t="shared" si="2"/>
        <v>30.535915105188398</v>
      </c>
      <c r="H64">
        <f t="shared" si="3"/>
        <v>347.80976310627074</v>
      </c>
      <c r="I64" s="4">
        <f t="shared" si="4"/>
        <v>8.0709036375252943</v>
      </c>
      <c r="J64" s="3">
        <f t="shared" si="7"/>
        <v>4.3748424000000004</v>
      </c>
      <c r="K64" s="3">
        <f t="shared" si="5"/>
        <v>46.181100000000001</v>
      </c>
      <c r="L64" s="3">
        <f t="shared" si="6"/>
        <v>8.6534682023848504</v>
      </c>
    </row>
    <row r="65" spans="1:12">
      <c r="A65" s="2" t="s">
        <v>232</v>
      </c>
      <c r="B65">
        <v>5.2568999999999999</v>
      </c>
      <c r="C65">
        <v>36.7027</v>
      </c>
      <c r="D65">
        <v>10.8888</v>
      </c>
      <c r="E65">
        <f t="shared" si="0"/>
        <v>0.4827804716773198</v>
      </c>
      <c r="F65">
        <f t="shared" si="1"/>
        <v>3.3706836382337815</v>
      </c>
      <c r="G65">
        <f t="shared" si="2"/>
        <v>21.639669081992505</v>
      </c>
      <c r="H65">
        <f t="shared" si="3"/>
        <v>394.04640004408196</v>
      </c>
      <c r="I65" s="4">
        <f t="shared" si="4"/>
        <v>5.2057720210559557</v>
      </c>
      <c r="J65" s="3">
        <f t="shared" si="7"/>
        <v>22.835973600000003</v>
      </c>
      <c r="K65" s="3">
        <f t="shared" si="5"/>
        <v>385.37835000000001</v>
      </c>
      <c r="L65" s="3">
        <f t="shared" si="6"/>
        <v>5.5941137485357961</v>
      </c>
    </row>
    <row r="66" spans="1:12">
      <c r="A66" s="2" t="s">
        <v>161</v>
      </c>
      <c r="B66">
        <v>1.1769000000000001</v>
      </c>
      <c r="C66">
        <v>4.0749000000000004</v>
      </c>
      <c r="D66">
        <v>1.4813000000000001</v>
      </c>
      <c r="E66">
        <f t="shared" ref="E66:E129" si="8">B66/D66</f>
        <v>0.79450482684128809</v>
      </c>
      <c r="F66">
        <f t="shared" ref="F66:F129" si="9">C66/D66</f>
        <v>2.7508944845743604</v>
      </c>
      <c r="G66">
        <f t="shared" ref="G66:G129" si="10">E66*44.823</f>
        <v>35.612089853507058</v>
      </c>
      <c r="H66">
        <f t="shared" ref="H66:H129" si="11">F66*116.904</f>
        <v>321.59056882468099</v>
      </c>
      <c r="I66" s="4">
        <f t="shared" ref="I66:I129" si="12">G66/(G66+H66)*100</f>
        <v>9.9697157869115394</v>
      </c>
      <c r="J66" s="3">
        <f t="shared" si="7"/>
        <v>5.1124536000000003</v>
      </c>
      <c r="K66" s="3">
        <f t="shared" si="5"/>
        <v>42.786450000000002</v>
      </c>
      <c r="L66" s="3">
        <f t="shared" si="6"/>
        <v>10.673425101112336</v>
      </c>
    </row>
    <row r="67" spans="1:12">
      <c r="A67" s="2" t="s">
        <v>233</v>
      </c>
      <c r="B67">
        <v>5.9141000000000004</v>
      </c>
      <c r="C67">
        <v>34.9223</v>
      </c>
      <c r="D67">
        <v>10.8735</v>
      </c>
      <c r="E67">
        <f t="shared" si="8"/>
        <v>0.54390030808847201</v>
      </c>
      <c r="F67">
        <f t="shared" si="9"/>
        <v>3.2116889685933692</v>
      </c>
      <c r="G67">
        <f t="shared" si="10"/>
        <v>24.37924350944958</v>
      </c>
      <c r="H67">
        <f t="shared" si="11"/>
        <v>375.45928718443923</v>
      </c>
      <c r="I67" s="4">
        <f t="shared" si="12"/>
        <v>6.0972721831338488</v>
      </c>
      <c r="J67" s="3">
        <f t="shared" si="7"/>
        <v>25.690850400000002</v>
      </c>
      <c r="K67" s="3">
        <f t="shared" ref="K67:K130" si="13">C67*10.5</f>
        <v>366.68414999999999</v>
      </c>
      <c r="L67" s="3">
        <f t="shared" ref="L67:L130" si="14">J67/(J67+K67)*100</f>
        <v>6.5475247846600579</v>
      </c>
    </row>
    <row r="68" spans="1:12">
      <c r="A68" s="2" t="s">
        <v>162</v>
      </c>
      <c r="B68">
        <v>5.4199999999999998E-2</v>
      </c>
      <c r="C68">
        <v>5.0297999999999998</v>
      </c>
      <c r="D68">
        <v>1.4601</v>
      </c>
      <c r="E68">
        <f t="shared" si="8"/>
        <v>3.7120745154441477E-2</v>
      </c>
      <c r="F68">
        <f t="shared" si="9"/>
        <v>3.4448325457160469</v>
      </c>
      <c r="G68">
        <f t="shared" si="10"/>
        <v>1.6638631600575304</v>
      </c>
      <c r="H68">
        <f t="shared" si="11"/>
        <v>402.71470392438874</v>
      </c>
      <c r="I68" s="4">
        <f t="shared" si="12"/>
        <v>0.4114617577419889</v>
      </c>
      <c r="J68" s="3">
        <f t="shared" ref="J68:J131" si="15">B68*4.344</f>
        <v>0.23544480000000001</v>
      </c>
      <c r="K68" s="3">
        <f t="shared" si="13"/>
        <v>52.812899999999999</v>
      </c>
      <c r="L68" s="3">
        <f t="shared" si="14"/>
        <v>0.44383062447595917</v>
      </c>
    </row>
    <row r="69" spans="1:12">
      <c r="A69" s="2" t="s">
        <v>234</v>
      </c>
      <c r="B69">
        <v>0.35809999999999997</v>
      </c>
      <c r="C69">
        <v>39.699100000000001</v>
      </c>
      <c r="D69">
        <v>10.954800000000001</v>
      </c>
      <c r="E69">
        <f t="shared" si="8"/>
        <v>3.268886698068426E-2</v>
      </c>
      <c r="F69">
        <f t="shared" si="9"/>
        <v>3.6239000255595721</v>
      </c>
      <c r="G69">
        <f t="shared" si="10"/>
        <v>1.4652130846752105</v>
      </c>
      <c r="H69">
        <f t="shared" si="11"/>
        <v>423.6484085880162</v>
      </c>
      <c r="I69" s="4">
        <f t="shared" si="12"/>
        <v>0.34466387572104779</v>
      </c>
      <c r="J69" s="3">
        <f t="shared" si="15"/>
        <v>1.5555863999999999</v>
      </c>
      <c r="K69" s="3">
        <f t="shared" si="13"/>
        <v>416.84055000000001</v>
      </c>
      <c r="L69" s="3">
        <f t="shared" si="14"/>
        <v>0.37179750591979893</v>
      </c>
    </row>
    <row r="70" spans="1:12">
      <c r="A70" s="2" t="s">
        <v>163</v>
      </c>
      <c r="B70">
        <v>5.6300000000000003E-2</v>
      </c>
      <c r="C70">
        <v>5.0812999999999997</v>
      </c>
      <c r="D70">
        <v>1.5310999999999999</v>
      </c>
      <c r="E70">
        <f t="shared" si="8"/>
        <v>3.6770948990921565E-2</v>
      </c>
      <c r="F70">
        <f t="shared" si="9"/>
        <v>3.3187250996015938</v>
      </c>
      <c r="G70">
        <f t="shared" si="10"/>
        <v>1.6481842466200773</v>
      </c>
      <c r="H70">
        <f t="shared" si="11"/>
        <v>387.97223904382469</v>
      </c>
      <c r="I70" s="4">
        <f t="shared" si="12"/>
        <v>0.42302306247212024</v>
      </c>
      <c r="J70" s="3">
        <f t="shared" si="15"/>
        <v>0.24456720000000004</v>
      </c>
      <c r="K70" s="3">
        <f t="shared" si="13"/>
        <v>53.353649999999995</v>
      </c>
      <c r="L70" s="3">
        <f t="shared" si="14"/>
        <v>0.45629726654415675</v>
      </c>
    </row>
    <row r="71" spans="1:12">
      <c r="A71" s="2" t="s">
        <v>235</v>
      </c>
      <c r="B71">
        <v>0.34920000000000001</v>
      </c>
      <c r="C71">
        <v>40.456499999999998</v>
      </c>
      <c r="D71">
        <v>10.9659</v>
      </c>
      <c r="E71">
        <f t="shared" si="8"/>
        <v>3.1844171477033348E-2</v>
      </c>
      <c r="F71">
        <f t="shared" si="9"/>
        <v>3.6893004678138595</v>
      </c>
      <c r="G71">
        <f t="shared" si="10"/>
        <v>1.4273512981150658</v>
      </c>
      <c r="H71">
        <f t="shared" si="11"/>
        <v>431.2939818893114</v>
      </c>
      <c r="I71" s="4">
        <f t="shared" si="12"/>
        <v>0.32985461742807831</v>
      </c>
      <c r="J71" s="3">
        <f t="shared" si="15"/>
        <v>1.5169248000000002</v>
      </c>
      <c r="K71" s="3">
        <f t="shared" si="13"/>
        <v>424.79325</v>
      </c>
      <c r="L71" s="3">
        <f t="shared" si="14"/>
        <v>0.35582655298144206</v>
      </c>
    </row>
    <row r="72" spans="1:12">
      <c r="A72" s="2" t="s">
        <v>164</v>
      </c>
      <c r="B72">
        <v>5.91E-2</v>
      </c>
      <c r="C72">
        <v>5.0002000000000004</v>
      </c>
      <c r="D72">
        <v>1.5418000000000001</v>
      </c>
      <c r="E72">
        <f t="shared" si="8"/>
        <v>3.8331819950706968E-2</v>
      </c>
      <c r="F72">
        <f t="shared" si="9"/>
        <v>3.2430924892982231</v>
      </c>
      <c r="G72">
        <f t="shared" si="10"/>
        <v>1.7181471656505385</v>
      </c>
      <c r="H72">
        <f t="shared" si="11"/>
        <v>379.13048436891944</v>
      </c>
      <c r="I72" s="4">
        <f t="shared" si="12"/>
        <v>0.4511364944984923</v>
      </c>
      <c r="J72" s="3">
        <f t="shared" si="15"/>
        <v>0.25673040000000003</v>
      </c>
      <c r="K72" s="3">
        <f t="shared" si="13"/>
        <v>52.502100000000006</v>
      </c>
      <c r="L72" s="3">
        <f t="shared" si="14"/>
        <v>0.4866112422386073</v>
      </c>
    </row>
    <row r="73" spans="1:12">
      <c r="A73" s="2" t="s">
        <v>236</v>
      </c>
      <c r="B73">
        <v>0.29559999999999997</v>
      </c>
      <c r="C73">
        <v>39.062800000000003</v>
      </c>
      <c r="D73">
        <v>11.0771</v>
      </c>
      <c r="E73">
        <f t="shared" si="8"/>
        <v>2.668568488142203E-2</v>
      </c>
      <c r="F73">
        <f t="shared" si="9"/>
        <v>3.5264464525913826</v>
      </c>
      <c r="G73">
        <f t="shared" si="10"/>
        <v>1.1961324534399798</v>
      </c>
      <c r="H73">
        <f t="shared" si="11"/>
        <v>412.25569609374298</v>
      </c>
      <c r="I73" s="4">
        <f t="shared" si="12"/>
        <v>0.28930394567198714</v>
      </c>
      <c r="J73" s="3">
        <f t="shared" si="15"/>
        <v>1.2840864000000001</v>
      </c>
      <c r="K73" s="3">
        <f t="shared" si="13"/>
        <v>410.15940000000001</v>
      </c>
      <c r="L73" s="3">
        <f t="shared" si="14"/>
        <v>0.31209301944122358</v>
      </c>
    </row>
    <row r="74" spans="1:12">
      <c r="A74" s="2" t="s">
        <v>57</v>
      </c>
      <c r="B74">
        <v>0.3049</v>
      </c>
      <c r="C74">
        <v>5.2801999999999998</v>
      </c>
      <c r="D74">
        <v>1.7878000000000001</v>
      </c>
      <c r="E74">
        <f t="shared" si="8"/>
        <v>0.17054480366931424</v>
      </c>
      <c r="F74">
        <f t="shared" si="9"/>
        <v>2.9534623559682287</v>
      </c>
      <c r="G74">
        <f t="shared" si="10"/>
        <v>7.6443297348696717</v>
      </c>
      <c r="H74">
        <f t="shared" si="11"/>
        <v>345.27156326210979</v>
      </c>
      <c r="I74" s="4">
        <f t="shared" si="12"/>
        <v>2.1660485930383131</v>
      </c>
      <c r="J74" s="3">
        <f t="shared" si="15"/>
        <v>1.3244856</v>
      </c>
      <c r="K74" s="3">
        <f t="shared" si="13"/>
        <v>55.442099999999996</v>
      </c>
      <c r="L74" s="3">
        <f t="shared" si="14"/>
        <v>2.3332134318115481</v>
      </c>
    </row>
    <row r="75" spans="1:12">
      <c r="A75" s="2" t="s">
        <v>129</v>
      </c>
      <c r="B75">
        <v>0.56479999999999997</v>
      </c>
      <c r="C75">
        <v>7.7430000000000003</v>
      </c>
      <c r="D75">
        <v>2.5455999999999999</v>
      </c>
      <c r="E75">
        <f t="shared" si="8"/>
        <v>0.22187303582652421</v>
      </c>
      <c r="F75">
        <f t="shared" si="9"/>
        <v>3.0417190446260216</v>
      </c>
      <c r="G75">
        <f t="shared" si="10"/>
        <v>9.9450150848522938</v>
      </c>
      <c r="H75">
        <f t="shared" si="11"/>
        <v>355.58912319296041</v>
      </c>
      <c r="I75" s="4">
        <f t="shared" si="12"/>
        <v>2.7206802439048521</v>
      </c>
      <c r="J75" s="3">
        <f t="shared" si="15"/>
        <v>2.4534912000000002</v>
      </c>
      <c r="K75" s="3">
        <f t="shared" si="13"/>
        <v>81.301500000000004</v>
      </c>
      <c r="L75" s="3">
        <f t="shared" si="14"/>
        <v>2.9293671515543065</v>
      </c>
    </row>
    <row r="76" spans="1:12">
      <c r="A76" s="2" t="s">
        <v>58</v>
      </c>
      <c r="B76">
        <v>0.90839999999999999</v>
      </c>
      <c r="C76">
        <v>6.2363999999999997</v>
      </c>
      <c r="D76">
        <v>2.2107000000000001</v>
      </c>
      <c r="E76">
        <f t="shared" si="8"/>
        <v>0.410910571312254</v>
      </c>
      <c r="F76">
        <f t="shared" si="9"/>
        <v>2.8210069208847872</v>
      </c>
      <c r="G76">
        <f t="shared" si="10"/>
        <v>18.418244537929162</v>
      </c>
      <c r="H76">
        <f t="shared" si="11"/>
        <v>329.78699307911518</v>
      </c>
      <c r="I76" s="4">
        <f t="shared" si="12"/>
        <v>5.2894794644604177</v>
      </c>
      <c r="J76" s="3">
        <f t="shared" si="15"/>
        <v>3.9460896000000001</v>
      </c>
      <c r="K76" s="3">
        <f t="shared" si="13"/>
        <v>65.482199999999992</v>
      </c>
      <c r="L76" s="3">
        <f t="shared" si="14"/>
        <v>5.6836912197243601</v>
      </c>
    </row>
    <row r="77" spans="1:12">
      <c r="A77" s="2" t="s">
        <v>130</v>
      </c>
      <c r="B77">
        <v>1.2543</v>
      </c>
      <c r="C77">
        <v>7.5290999999999997</v>
      </c>
      <c r="D77">
        <v>2.3437999999999999</v>
      </c>
      <c r="E77">
        <f t="shared" si="8"/>
        <v>0.5351565833262224</v>
      </c>
      <c r="F77">
        <f t="shared" si="9"/>
        <v>3.2123474699206418</v>
      </c>
      <c r="G77">
        <f t="shared" si="10"/>
        <v>23.987323534431265</v>
      </c>
      <c r="H77">
        <f t="shared" si="11"/>
        <v>375.53626862360272</v>
      </c>
      <c r="I77" s="4">
        <f t="shared" si="12"/>
        <v>6.0039817435719627</v>
      </c>
      <c r="J77" s="3">
        <f t="shared" si="15"/>
        <v>5.4486791999999999</v>
      </c>
      <c r="K77" s="3">
        <f t="shared" si="13"/>
        <v>79.055549999999997</v>
      </c>
      <c r="L77" s="3">
        <f t="shared" si="14"/>
        <v>6.4478183536877935</v>
      </c>
    </row>
    <row r="78" spans="1:12">
      <c r="A78" s="2" t="s">
        <v>59</v>
      </c>
      <c r="B78">
        <v>1.0391999999999999</v>
      </c>
      <c r="C78">
        <v>4.1623000000000001</v>
      </c>
      <c r="D78">
        <v>1.6093</v>
      </c>
      <c r="E78">
        <f t="shared" si="8"/>
        <v>0.6457465978997079</v>
      </c>
      <c r="F78">
        <f t="shared" si="9"/>
        <v>2.5864040265954142</v>
      </c>
      <c r="G78">
        <f t="shared" si="10"/>
        <v>28.944299757658609</v>
      </c>
      <c r="H78">
        <f t="shared" si="11"/>
        <v>302.3609763251103</v>
      </c>
      <c r="I78" s="4">
        <f t="shared" si="12"/>
        <v>8.7364439528054927</v>
      </c>
      <c r="J78" s="3">
        <f t="shared" si="15"/>
        <v>4.5142847999999995</v>
      </c>
      <c r="K78" s="3">
        <f t="shared" si="13"/>
        <v>43.704149999999998</v>
      </c>
      <c r="L78" s="3">
        <f t="shared" si="14"/>
        <v>9.3621554053430209</v>
      </c>
    </row>
    <row r="79" spans="1:12">
      <c r="A79" s="2" t="s">
        <v>131</v>
      </c>
      <c r="B79">
        <v>1.8863000000000001</v>
      </c>
      <c r="C79">
        <v>6.9904000000000002</v>
      </c>
      <c r="D79">
        <v>2.3281999999999998</v>
      </c>
      <c r="E79">
        <f t="shared" si="8"/>
        <v>0.81019671849497477</v>
      </c>
      <c r="F79">
        <f t="shared" si="9"/>
        <v>3.0024911949145268</v>
      </c>
      <c r="G79">
        <f t="shared" si="10"/>
        <v>36.315447513100253</v>
      </c>
      <c r="H79">
        <f t="shared" si="11"/>
        <v>351.00323065028783</v>
      </c>
      <c r="I79" s="4">
        <f t="shared" si="12"/>
        <v>9.3761157311862959</v>
      </c>
      <c r="J79" s="3">
        <f t="shared" si="15"/>
        <v>8.1940872000000002</v>
      </c>
      <c r="K79" s="3">
        <f t="shared" si="13"/>
        <v>73.399200000000008</v>
      </c>
      <c r="L79" s="3">
        <f t="shared" si="14"/>
        <v>10.042599680920809</v>
      </c>
    </row>
    <row r="80" spans="1:12">
      <c r="A80" s="2" t="s">
        <v>60</v>
      </c>
      <c r="B80">
        <v>0.57750000000000001</v>
      </c>
      <c r="C80">
        <v>5.4675000000000002</v>
      </c>
      <c r="D80">
        <v>1.9164000000000001</v>
      </c>
      <c r="E80">
        <f t="shared" si="8"/>
        <v>0.30134627426424543</v>
      </c>
      <c r="F80">
        <f t="shared" si="9"/>
        <v>2.8530056355666877</v>
      </c>
      <c r="G80">
        <f t="shared" si="10"/>
        <v>13.507244051346273</v>
      </c>
      <c r="H80">
        <f t="shared" si="11"/>
        <v>333.52777082028803</v>
      </c>
      <c r="I80" s="4">
        <f t="shared" si="12"/>
        <v>3.8921847861209344</v>
      </c>
      <c r="J80" s="3">
        <f t="shared" si="15"/>
        <v>2.5086600000000003</v>
      </c>
      <c r="K80" s="3">
        <f t="shared" si="13"/>
        <v>57.408750000000005</v>
      </c>
      <c r="L80" s="3">
        <f t="shared" si="14"/>
        <v>4.1868632172185016</v>
      </c>
    </row>
    <row r="81" spans="1:12">
      <c r="A81" s="2" t="s">
        <v>132</v>
      </c>
      <c r="B81">
        <v>0.73839999999999995</v>
      </c>
      <c r="C81">
        <v>7.5566000000000004</v>
      </c>
      <c r="D81">
        <v>2.2349999999999999</v>
      </c>
      <c r="E81">
        <f t="shared" si="8"/>
        <v>0.33038031319910516</v>
      </c>
      <c r="F81">
        <f t="shared" si="9"/>
        <v>3.3810290827740497</v>
      </c>
      <c r="G81">
        <f t="shared" si="10"/>
        <v>14.808636778523491</v>
      </c>
      <c r="H81">
        <f t="shared" si="11"/>
        <v>395.25582389261751</v>
      </c>
      <c r="I81" s="4">
        <f t="shared" si="12"/>
        <v>3.6112948569809276</v>
      </c>
      <c r="J81" s="3">
        <f t="shared" si="15"/>
        <v>3.2076096000000001</v>
      </c>
      <c r="K81" s="3">
        <f t="shared" si="13"/>
        <v>79.344300000000004</v>
      </c>
      <c r="L81" s="3">
        <f t="shared" si="14"/>
        <v>3.8855668094684512</v>
      </c>
    </row>
    <row r="82" spans="1:12">
      <c r="A82" s="2" t="s">
        <v>61</v>
      </c>
      <c r="B82">
        <v>1.3587</v>
      </c>
      <c r="C82">
        <v>5.5785999999999998</v>
      </c>
      <c r="D82">
        <v>2.1926999999999999</v>
      </c>
      <c r="E82">
        <f t="shared" si="8"/>
        <v>0.61964701053495697</v>
      </c>
      <c r="F82">
        <f t="shared" si="9"/>
        <v>2.5441692890044236</v>
      </c>
      <c r="G82">
        <f t="shared" si="10"/>
        <v>27.774437953208377</v>
      </c>
      <c r="H82">
        <f t="shared" si="11"/>
        <v>297.42356656177316</v>
      </c>
      <c r="I82" s="4">
        <f t="shared" si="12"/>
        <v>8.5407774855915015</v>
      </c>
      <c r="J82" s="3">
        <f t="shared" si="15"/>
        <v>5.9021928000000008</v>
      </c>
      <c r="K82" s="3">
        <f t="shared" si="13"/>
        <v>58.575299999999999</v>
      </c>
      <c r="L82" s="3">
        <f t="shared" si="14"/>
        <v>9.1538807476707618</v>
      </c>
    </row>
    <row r="83" spans="1:12">
      <c r="A83" s="2" t="s">
        <v>133</v>
      </c>
      <c r="B83">
        <v>1.5196000000000001</v>
      </c>
      <c r="C83">
        <v>7.0011999999999999</v>
      </c>
      <c r="D83">
        <v>2.2949000000000002</v>
      </c>
      <c r="E83">
        <f t="shared" si="8"/>
        <v>0.66216392871149066</v>
      </c>
      <c r="F83">
        <f t="shared" si="9"/>
        <v>3.0507647392043222</v>
      </c>
      <c r="G83">
        <f t="shared" si="10"/>
        <v>29.680173776635147</v>
      </c>
      <c r="H83">
        <f t="shared" si="11"/>
        <v>356.64660107194209</v>
      </c>
      <c r="I83" s="4">
        <f t="shared" si="12"/>
        <v>7.682660304419346</v>
      </c>
      <c r="J83" s="3">
        <f t="shared" si="15"/>
        <v>6.6011424000000005</v>
      </c>
      <c r="K83" s="3">
        <f t="shared" si="13"/>
        <v>73.512599999999992</v>
      </c>
      <c r="L83" s="3">
        <f t="shared" si="14"/>
        <v>8.2397129409348384</v>
      </c>
    </row>
    <row r="84" spans="1:12">
      <c r="A84" s="2" t="s">
        <v>62</v>
      </c>
      <c r="B84">
        <v>1.8151999999999999</v>
      </c>
      <c r="C84">
        <v>5.1878000000000002</v>
      </c>
      <c r="D84">
        <v>2.1581000000000001</v>
      </c>
      <c r="E84">
        <f t="shared" si="8"/>
        <v>0.84111023585561362</v>
      </c>
      <c r="F84">
        <f t="shared" si="9"/>
        <v>2.4038737778601549</v>
      </c>
      <c r="G84">
        <f t="shared" si="10"/>
        <v>37.701084101756173</v>
      </c>
      <c r="H84">
        <f t="shared" si="11"/>
        <v>281.02246012696355</v>
      </c>
      <c r="I84" s="4">
        <f t="shared" si="12"/>
        <v>11.828772861129279</v>
      </c>
      <c r="J84" s="3">
        <f t="shared" si="15"/>
        <v>7.8852288000000001</v>
      </c>
      <c r="K84" s="3">
        <f t="shared" si="13"/>
        <v>54.471900000000005</v>
      </c>
      <c r="L84" s="3">
        <f t="shared" si="14"/>
        <v>12.645272403882712</v>
      </c>
    </row>
    <row r="85" spans="1:12">
      <c r="A85" s="2" t="s">
        <v>134</v>
      </c>
      <c r="B85">
        <v>2.0954000000000002</v>
      </c>
      <c r="C85">
        <v>6.5213000000000001</v>
      </c>
      <c r="D85">
        <v>2.2663000000000002</v>
      </c>
      <c r="E85">
        <f t="shared" si="8"/>
        <v>0.92459074262012975</v>
      </c>
      <c r="F85">
        <f t="shared" si="9"/>
        <v>2.8775095971407136</v>
      </c>
      <c r="G85">
        <f t="shared" si="10"/>
        <v>41.442930856462077</v>
      </c>
      <c r="H85">
        <f t="shared" si="11"/>
        <v>336.39238194413798</v>
      </c>
      <c r="I85" s="4">
        <f t="shared" si="12"/>
        <v>10.968517089966468</v>
      </c>
      <c r="J85" s="3">
        <f t="shared" si="15"/>
        <v>9.1024176000000008</v>
      </c>
      <c r="K85" s="3">
        <f t="shared" si="13"/>
        <v>68.473650000000006</v>
      </c>
      <c r="L85" s="3">
        <f t="shared" si="14"/>
        <v>11.733538295514222</v>
      </c>
    </row>
    <row r="86" spans="1:12">
      <c r="A86" s="2" t="s">
        <v>63</v>
      </c>
      <c r="B86">
        <v>0.82030000000000003</v>
      </c>
      <c r="C86">
        <v>5.9660000000000002</v>
      </c>
      <c r="D86">
        <v>2.097</v>
      </c>
      <c r="E86">
        <f t="shared" si="8"/>
        <v>0.3911778731521221</v>
      </c>
      <c r="F86">
        <f t="shared" si="9"/>
        <v>2.8450166905102527</v>
      </c>
      <c r="G86">
        <f t="shared" si="10"/>
        <v>17.53376580829757</v>
      </c>
      <c r="H86">
        <f t="shared" si="11"/>
        <v>332.59383118741056</v>
      </c>
      <c r="I86" s="4">
        <f t="shared" si="12"/>
        <v>5.0078217080707583</v>
      </c>
      <c r="J86" s="3">
        <f t="shared" si="15"/>
        <v>3.5633832000000005</v>
      </c>
      <c r="K86" s="3">
        <f t="shared" si="13"/>
        <v>62.643000000000001</v>
      </c>
      <c r="L86" s="3">
        <f t="shared" si="14"/>
        <v>5.3822351075054655</v>
      </c>
    </row>
    <row r="87" spans="1:12">
      <c r="A87" s="2" t="s">
        <v>201</v>
      </c>
      <c r="B87">
        <v>4.84</v>
      </c>
      <c r="C87">
        <v>37.509700000000002</v>
      </c>
      <c r="D87">
        <v>11.0664</v>
      </c>
      <c r="E87">
        <f t="shared" si="8"/>
        <v>0.43735993638400927</v>
      </c>
      <c r="F87">
        <f t="shared" si="9"/>
        <v>3.389512397889106</v>
      </c>
      <c r="G87">
        <f t="shared" si="10"/>
        <v>19.603784428540447</v>
      </c>
      <c r="H87">
        <f t="shared" si="11"/>
        <v>396.24755736282805</v>
      </c>
      <c r="I87" s="4">
        <f t="shared" si="12"/>
        <v>4.7141327821843637</v>
      </c>
      <c r="J87" s="3">
        <f t="shared" si="15"/>
        <v>21.02496</v>
      </c>
      <c r="K87" s="3">
        <f t="shared" si="13"/>
        <v>393.85185000000001</v>
      </c>
      <c r="L87" s="3">
        <f t="shared" si="14"/>
        <v>5.0677597525877616</v>
      </c>
    </row>
    <row r="88" spans="1:12">
      <c r="A88" s="2" t="s">
        <v>64</v>
      </c>
      <c r="B88">
        <v>1.5964</v>
      </c>
      <c r="C88">
        <v>5.4024999999999999</v>
      </c>
      <c r="D88">
        <v>2.1372</v>
      </c>
      <c r="E88">
        <f t="shared" si="8"/>
        <v>0.74695863746958635</v>
      </c>
      <c r="F88">
        <f t="shared" si="9"/>
        <v>2.5278401647014785</v>
      </c>
      <c r="G88">
        <f t="shared" si="10"/>
        <v>33.480927007299272</v>
      </c>
      <c r="H88">
        <f t="shared" si="11"/>
        <v>295.51462661426166</v>
      </c>
      <c r="I88" s="4">
        <f t="shared" si="12"/>
        <v>10.176711094950518</v>
      </c>
      <c r="J88" s="3">
        <f t="shared" si="15"/>
        <v>6.9347616000000007</v>
      </c>
      <c r="K88" s="3">
        <f t="shared" si="13"/>
        <v>56.72625</v>
      </c>
      <c r="L88" s="3">
        <f t="shared" si="14"/>
        <v>10.893263279529791</v>
      </c>
    </row>
    <row r="89" spans="1:12">
      <c r="A89" s="2" t="s">
        <v>202</v>
      </c>
      <c r="B89">
        <v>8.9018999999999995</v>
      </c>
      <c r="C89">
        <v>35.696800000000003</v>
      </c>
      <c r="D89">
        <v>11.1907</v>
      </c>
      <c r="E89">
        <f t="shared" si="8"/>
        <v>0.79547302670967857</v>
      </c>
      <c r="F89">
        <f t="shared" si="9"/>
        <v>3.1898630112504138</v>
      </c>
      <c r="G89">
        <f t="shared" si="10"/>
        <v>35.655487476207924</v>
      </c>
      <c r="H89">
        <f t="shared" si="11"/>
        <v>372.90774546721838</v>
      </c>
      <c r="I89" s="4">
        <f t="shared" si="12"/>
        <v>8.72704262185656</v>
      </c>
      <c r="J89" s="3">
        <f t="shared" si="15"/>
        <v>38.669853600000003</v>
      </c>
      <c r="K89" s="3">
        <f t="shared" si="13"/>
        <v>374.81640000000004</v>
      </c>
      <c r="L89" s="3">
        <f t="shared" si="14"/>
        <v>9.3521497421794813</v>
      </c>
    </row>
    <row r="90" spans="1:12">
      <c r="A90" s="2" t="s">
        <v>65</v>
      </c>
      <c r="B90">
        <v>1.9477</v>
      </c>
      <c r="C90">
        <v>4.5812999999999997</v>
      </c>
      <c r="D90">
        <v>1.9723999999999999</v>
      </c>
      <c r="E90">
        <f t="shared" si="8"/>
        <v>0.98747718515514094</v>
      </c>
      <c r="F90">
        <f t="shared" si="9"/>
        <v>2.3227033056175217</v>
      </c>
      <c r="G90">
        <f t="shared" si="10"/>
        <v>44.261689870208883</v>
      </c>
      <c r="H90">
        <f t="shared" si="11"/>
        <v>271.53330723991076</v>
      </c>
      <c r="I90" s="4">
        <f t="shared" si="12"/>
        <v>14.015956641255645</v>
      </c>
      <c r="J90" s="3">
        <f t="shared" si="15"/>
        <v>8.4608088000000006</v>
      </c>
      <c r="K90" s="3">
        <f t="shared" si="13"/>
        <v>48.103649999999995</v>
      </c>
      <c r="L90" s="3">
        <f t="shared" si="14"/>
        <v>14.957818000019477</v>
      </c>
    </row>
    <row r="91" spans="1:12">
      <c r="A91" s="2" t="s">
        <v>203</v>
      </c>
      <c r="B91">
        <v>11.7029</v>
      </c>
      <c r="C91">
        <v>31.112100000000002</v>
      </c>
      <c r="D91">
        <v>10.4603</v>
      </c>
      <c r="E91">
        <f t="shared" si="8"/>
        <v>1.1187920040534209</v>
      </c>
      <c r="F91">
        <f t="shared" si="9"/>
        <v>2.9743028402627076</v>
      </c>
      <c r="G91">
        <f t="shared" si="10"/>
        <v>50.147613997686484</v>
      </c>
      <c r="H91">
        <f t="shared" si="11"/>
        <v>347.70789923807155</v>
      </c>
      <c r="I91" s="4">
        <f t="shared" si="12"/>
        <v>12.604478844552396</v>
      </c>
      <c r="J91" s="3">
        <f t="shared" si="15"/>
        <v>50.837397600000003</v>
      </c>
      <c r="K91" s="3">
        <f t="shared" si="13"/>
        <v>326.67705000000001</v>
      </c>
      <c r="L91" s="3">
        <f t="shared" si="14"/>
        <v>13.466344910292117</v>
      </c>
    </row>
    <row r="92" spans="1:12">
      <c r="A92" s="2" t="s">
        <v>66</v>
      </c>
      <c r="B92">
        <v>0.90869999999999995</v>
      </c>
      <c r="C92">
        <v>5.7157999999999998</v>
      </c>
      <c r="D92">
        <v>2.0859999999999999</v>
      </c>
      <c r="E92">
        <f t="shared" si="8"/>
        <v>0.4356184084372004</v>
      </c>
      <c r="F92">
        <f t="shared" si="9"/>
        <v>2.7400767018216685</v>
      </c>
      <c r="G92">
        <f t="shared" si="10"/>
        <v>19.525723921380635</v>
      </c>
      <c r="H92">
        <f t="shared" si="11"/>
        <v>320.3259267497603</v>
      </c>
      <c r="I92" s="4">
        <f t="shared" si="12"/>
        <v>5.745366804257424</v>
      </c>
      <c r="J92" s="3">
        <f t="shared" si="15"/>
        <v>3.9473928000000003</v>
      </c>
      <c r="K92" s="3">
        <f t="shared" si="13"/>
        <v>60.015899999999995</v>
      </c>
      <c r="L92" s="3">
        <f t="shared" si="14"/>
        <v>6.1713408225287623</v>
      </c>
    </row>
    <row r="93" spans="1:12">
      <c r="A93" s="2" t="s">
        <v>204</v>
      </c>
      <c r="B93">
        <v>5.1694000000000004</v>
      </c>
      <c r="C93">
        <v>37.634500000000003</v>
      </c>
      <c r="D93">
        <v>11.205399999999999</v>
      </c>
      <c r="E93">
        <f t="shared" si="8"/>
        <v>0.46133114391275643</v>
      </c>
      <c r="F93">
        <f t="shared" si="9"/>
        <v>3.358603887411427</v>
      </c>
      <c r="G93">
        <f t="shared" si="10"/>
        <v>20.678245863601482</v>
      </c>
      <c r="H93">
        <f t="shared" si="11"/>
        <v>392.63422885394544</v>
      </c>
      <c r="I93" s="4">
        <f t="shared" si="12"/>
        <v>5.0030538946913614</v>
      </c>
      <c r="J93" s="3">
        <f t="shared" si="15"/>
        <v>22.455873600000004</v>
      </c>
      <c r="K93" s="3">
        <f t="shared" si="13"/>
        <v>395.16225000000003</v>
      </c>
      <c r="L93" s="3">
        <f t="shared" si="14"/>
        <v>5.3771310034208497</v>
      </c>
    </row>
    <row r="94" spans="1:12">
      <c r="A94" s="2" t="s">
        <v>67</v>
      </c>
      <c r="B94">
        <v>1.5999000000000001</v>
      </c>
      <c r="C94">
        <v>5.3752000000000004</v>
      </c>
      <c r="D94">
        <v>2.1463000000000001</v>
      </c>
      <c r="E94">
        <f t="shared" si="8"/>
        <v>0.74542235475003493</v>
      </c>
      <c r="F94">
        <f t="shared" si="9"/>
        <v>2.5044029259656155</v>
      </c>
      <c r="G94">
        <f t="shared" si="10"/>
        <v>33.412066206960816</v>
      </c>
      <c r="H94">
        <f t="shared" si="11"/>
        <v>292.77471965708429</v>
      </c>
      <c r="I94" s="4">
        <f t="shared" si="12"/>
        <v>10.243231073403136</v>
      </c>
      <c r="J94" s="3">
        <f t="shared" si="15"/>
        <v>6.9499656000000005</v>
      </c>
      <c r="K94" s="3">
        <f t="shared" si="13"/>
        <v>56.439600000000006</v>
      </c>
      <c r="L94" s="3">
        <f t="shared" si="14"/>
        <v>10.963895294464677</v>
      </c>
    </row>
    <row r="95" spans="1:12">
      <c r="A95" s="2" t="s">
        <v>205</v>
      </c>
      <c r="B95">
        <v>9.2902000000000005</v>
      </c>
      <c r="C95">
        <v>35.473100000000002</v>
      </c>
      <c r="D95">
        <v>11.232799999999999</v>
      </c>
      <c r="E95">
        <f t="shared" si="8"/>
        <v>0.82706003845879927</v>
      </c>
      <c r="F95">
        <f t="shared" si="9"/>
        <v>3.157992664340147</v>
      </c>
      <c r="G95">
        <f t="shared" si="10"/>
        <v>37.071312103838757</v>
      </c>
      <c r="H95">
        <f t="shared" si="11"/>
        <v>369.18197443202052</v>
      </c>
      <c r="I95" s="4">
        <f t="shared" si="12"/>
        <v>9.1251722342845678</v>
      </c>
      <c r="J95" s="3">
        <f t="shared" si="15"/>
        <v>40.356628800000003</v>
      </c>
      <c r="K95" s="3">
        <f t="shared" si="13"/>
        <v>372.46755000000002</v>
      </c>
      <c r="L95" s="3">
        <f t="shared" si="14"/>
        <v>9.7757425248949588</v>
      </c>
    </row>
    <row r="96" spans="1:12">
      <c r="A96" s="2" t="s">
        <v>68</v>
      </c>
      <c r="B96">
        <v>2.1356999999999999</v>
      </c>
      <c r="C96">
        <v>5.2435999999999998</v>
      </c>
      <c r="D96">
        <v>2.3609</v>
      </c>
      <c r="E96">
        <f t="shared" si="8"/>
        <v>0.90461264771909011</v>
      </c>
      <c r="F96">
        <f t="shared" si="9"/>
        <v>2.2210174086153587</v>
      </c>
      <c r="G96">
        <f t="shared" si="10"/>
        <v>40.547452708712775</v>
      </c>
      <c r="H96">
        <f t="shared" si="11"/>
        <v>259.64581913676989</v>
      </c>
      <c r="I96" s="4">
        <f t="shared" si="12"/>
        <v>13.507115752275622</v>
      </c>
      <c r="J96" s="3">
        <f t="shared" si="15"/>
        <v>9.2774808000000011</v>
      </c>
      <c r="K96" s="3">
        <f t="shared" si="13"/>
        <v>55.0578</v>
      </c>
      <c r="L96" s="3">
        <f t="shared" si="14"/>
        <v>14.420518080648526</v>
      </c>
    </row>
    <row r="97" spans="1:12">
      <c r="A97" s="2" t="s">
        <v>206</v>
      </c>
      <c r="B97">
        <v>12.2288</v>
      </c>
      <c r="C97">
        <v>32.537700000000001</v>
      </c>
      <c r="D97">
        <v>11.191700000000001</v>
      </c>
      <c r="E97">
        <f t="shared" si="8"/>
        <v>1.0926668870680949</v>
      </c>
      <c r="F97">
        <f t="shared" si="9"/>
        <v>2.9073063073527701</v>
      </c>
      <c r="G97">
        <f t="shared" si="10"/>
        <v>48.976607879053219</v>
      </c>
      <c r="H97">
        <f t="shared" si="11"/>
        <v>339.8757365547682</v>
      </c>
      <c r="I97" s="4">
        <f t="shared" si="12"/>
        <v>12.595168469503346</v>
      </c>
      <c r="J97" s="3">
        <f t="shared" si="15"/>
        <v>53.121907200000003</v>
      </c>
      <c r="K97" s="3">
        <f t="shared" si="13"/>
        <v>341.64585</v>
      </c>
      <c r="L97" s="3">
        <f t="shared" si="14"/>
        <v>13.456495934921811</v>
      </c>
    </row>
    <row r="98" spans="1:12">
      <c r="A98" s="2" t="s">
        <v>135</v>
      </c>
      <c r="B98">
        <v>0.70430000000000004</v>
      </c>
      <c r="C98">
        <v>6.8308999999999997</v>
      </c>
      <c r="D98">
        <v>2.0996999999999999</v>
      </c>
      <c r="E98">
        <f t="shared" si="8"/>
        <v>0.33542887079106543</v>
      </c>
      <c r="F98">
        <f t="shared" si="9"/>
        <v>3.2532742772777064</v>
      </c>
      <c r="G98">
        <f t="shared" si="10"/>
        <v>15.034928275467927</v>
      </c>
      <c r="H98">
        <f t="shared" si="11"/>
        <v>380.320776110873</v>
      </c>
      <c r="I98" s="4">
        <f t="shared" si="12"/>
        <v>3.8028863903215164</v>
      </c>
      <c r="J98" s="3">
        <f t="shared" si="15"/>
        <v>3.0594792000000002</v>
      </c>
      <c r="K98" s="3">
        <f t="shared" si="13"/>
        <v>71.72444999999999</v>
      </c>
      <c r="L98" s="3">
        <f t="shared" si="14"/>
        <v>4.0910918063930781</v>
      </c>
    </row>
    <row r="99" spans="1:12">
      <c r="A99" s="2" t="s">
        <v>207</v>
      </c>
      <c r="B99">
        <v>3.8681000000000001</v>
      </c>
      <c r="C99">
        <v>38.946100000000001</v>
      </c>
      <c r="D99">
        <v>11.3537</v>
      </c>
      <c r="E99">
        <f t="shared" si="8"/>
        <v>0.34069069994803458</v>
      </c>
      <c r="F99">
        <f t="shared" si="9"/>
        <v>3.4302562160353016</v>
      </c>
      <c r="G99">
        <f t="shared" si="10"/>
        <v>15.270779243770754</v>
      </c>
      <c r="H99">
        <f t="shared" si="11"/>
        <v>401.01067267939089</v>
      </c>
      <c r="I99" s="4">
        <f t="shared" si="12"/>
        <v>3.6683784908556234</v>
      </c>
      <c r="J99" s="3">
        <f t="shared" si="15"/>
        <v>16.8030264</v>
      </c>
      <c r="K99" s="3">
        <f t="shared" si="13"/>
        <v>408.93405000000001</v>
      </c>
      <c r="L99" s="3">
        <f t="shared" si="14"/>
        <v>3.946808331114851</v>
      </c>
    </row>
    <row r="100" spans="1:12">
      <c r="A100" s="2" t="s">
        <v>136</v>
      </c>
      <c r="B100">
        <v>1.0865</v>
      </c>
      <c r="C100">
        <v>6.9435000000000002</v>
      </c>
      <c r="D100">
        <v>2.3243</v>
      </c>
      <c r="E100">
        <f t="shared" si="8"/>
        <v>0.46745256636406662</v>
      </c>
      <c r="F100">
        <f t="shared" si="9"/>
        <v>2.9873510304177602</v>
      </c>
      <c r="G100">
        <f t="shared" si="10"/>
        <v>20.952626382136557</v>
      </c>
      <c r="H100">
        <f t="shared" si="11"/>
        <v>349.23328485995785</v>
      </c>
      <c r="I100" s="4">
        <f t="shared" si="12"/>
        <v>5.6600280415409836</v>
      </c>
      <c r="J100" s="3">
        <f t="shared" si="15"/>
        <v>4.7197560000000003</v>
      </c>
      <c r="K100" s="3">
        <f t="shared" si="13"/>
        <v>72.906750000000002</v>
      </c>
      <c r="L100" s="3">
        <f t="shared" si="14"/>
        <v>6.0800830066987688</v>
      </c>
    </row>
    <row r="101" spans="1:12">
      <c r="A101" s="2" t="s">
        <v>208</v>
      </c>
      <c r="B101">
        <v>5.6302000000000003</v>
      </c>
      <c r="C101">
        <v>37.665700000000001</v>
      </c>
      <c r="D101">
        <v>11.214</v>
      </c>
      <c r="E101">
        <f t="shared" si="8"/>
        <v>0.50206884251828077</v>
      </c>
      <c r="F101">
        <f t="shared" si="9"/>
        <v>3.3588104155519884</v>
      </c>
      <c r="G101">
        <f t="shared" si="10"/>
        <v>22.504231728196899</v>
      </c>
      <c r="H101">
        <f t="shared" si="11"/>
        <v>392.65837281968965</v>
      </c>
      <c r="I101" s="4">
        <f t="shared" si="12"/>
        <v>5.4205825576954556</v>
      </c>
      <c r="J101" s="3">
        <f t="shared" si="15"/>
        <v>24.457588800000003</v>
      </c>
      <c r="K101" s="3">
        <f t="shared" si="13"/>
        <v>395.48984999999999</v>
      </c>
      <c r="L101" s="3">
        <f t="shared" si="14"/>
        <v>5.8239642727403158</v>
      </c>
    </row>
    <row r="102" spans="1:12">
      <c r="A102" s="2" t="s">
        <v>137</v>
      </c>
      <c r="B102">
        <v>1.1677</v>
      </c>
      <c r="C102">
        <v>6.4264999999999999</v>
      </c>
      <c r="D102">
        <v>2.2166999999999999</v>
      </c>
      <c r="E102">
        <f t="shared" si="8"/>
        <v>0.52677403347318086</v>
      </c>
      <c r="F102">
        <f t="shared" si="9"/>
        <v>2.8991293364009563</v>
      </c>
      <c r="G102">
        <f t="shared" si="10"/>
        <v>23.611592502368385</v>
      </c>
      <c r="H102">
        <f t="shared" si="11"/>
        <v>338.91981594261739</v>
      </c>
      <c r="I102" s="4">
        <f t="shared" si="12"/>
        <v>6.5129784488594034</v>
      </c>
      <c r="J102" s="3">
        <f t="shared" si="15"/>
        <v>5.0724888000000004</v>
      </c>
      <c r="K102" s="3">
        <f t="shared" si="13"/>
        <v>67.478250000000003</v>
      </c>
      <c r="L102" s="3">
        <f t="shared" si="14"/>
        <v>6.9916432057064046</v>
      </c>
    </row>
    <row r="103" spans="1:12">
      <c r="A103" s="2" t="s">
        <v>209</v>
      </c>
      <c r="B103">
        <v>6.0105000000000004</v>
      </c>
      <c r="C103">
        <v>37.134300000000003</v>
      </c>
      <c r="D103">
        <v>11.374599999999999</v>
      </c>
      <c r="E103">
        <f t="shared" si="8"/>
        <v>0.52841418599335366</v>
      </c>
      <c r="F103">
        <f t="shared" si="9"/>
        <v>3.2646686476887106</v>
      </c>
      <c r="G103">
        <f t="shared" si="10"/>
        <v>23.685109058780093</v>
      </c>
      <c r="H103">
        <f t="shared" si="11"/>
        <v>381.65282358940101</v>
      </c>
      <c r="I103" s="4">
        <f t="shared" si="12"/>
        <v>5.8432994178558477</v>
      </c>
      <c r="J103" s="3">
        <f t="shared" si="15"/>
        <v>26.109612000000002</v>
      </c>
      <c r="K103" s="3">
        <f t="shared" si="13"/>
        <v>389.91015000000004</v>
      </c>
      <c r="L103" s="3">
        <f t="shared" si="14"/>
        <v>6.2760508958706618</v>
      </c>
    </row>
    <row r="104" spans="1:12">
      <c r="A104" s="2" t="s">
        <v>138</v>
      </c>
      <c r="B104">
        <v>0.10059999999999999</v>
      </c>
      <c r="C104">
        <v>7.5888</v>
      </c>
      <c r="D104">
        <v>2.2014999999999998</v>
      </c>
      <c r="E104">
        <f t="shared" si="8"/>
        <v>4.5696116284351579E-2</v>
      </c>
      <c r="F104">
        <f t="shared" si="9"/>
        <v>3.4471042471042472</v>
      </c>
      <c r="G104">
        <f t="shared" si="10"/>
        <v>2.0482370202134907</v>
      </c>
      <c r="H104">
        <f t="shared" si="11"/>
        <v>402.98027490347488</v>
      </c>
      <c r="I104" s="4">
        <f t="shared" si="12"/>
        <v>0.50570193453427803</v>
      </c>
      <c r="J104" s="3">
        <f t="shared" si="15"/>
        <v>0.43700640000000002</v>
      </c>
      <c r="K104" s="3">
        <f t="shared" si="13"/>
        <v>79.682400000000001</v>
      </c>
      <c r="L104" s="3">
        <f t="shared" si="14"/>
        <v>0.54544388137154243</v>
      </c>
    </row>
    <row r="105" spans="1:12">
      <c r="A105" s="2" t="s">
        <v>210</v>
      </c>
      <c r="B105">
        <v>0.36409999999999998</v>
      </c>
      <c r="C105">
        <v>41.026600000000002</v>
      </c>
      <c r="D105">
        <v>11.2515</v>
      </c>
      <c r="E105">
        <f t="shared" si="8"/>
        <v>3.2360129760476378E-2</v>
      </c>
      <c r="F105">
        <f t="shared" si="9"/>
        <v>3.6463227125272186</v>
      </c>
      <c r="G105">
        <f t="shared" si="10"/>
        <v>1.4504780962538326</v>
      </c>
      <c r="H105">
        <f t="shared" si="11"/>
        <v>426.26971038528194</v>
      </c>
      <c r="I105" s="4">
        <f t="shared" si="12"/>
        <v>0.33911845531613205</v>
      </c>
      <c r="J105" s="3">
        <f t="shared" si="15"/>
        <v>1.5816504</v>
      </c>
      <c r="K105" s="3">
        <f t="shared" si="13"/>
        <v>430.77930000000003</v>
      </c>
      <c r="L105" s="3">
        <f t="shared" si="14"/>
        <v>0.36581712537562222</v>
      </c>
    </row>
    <row r="106" spans="1:12">
      <c r="A106" s="2" t="s">
        <v>139</v>
      </c>
      <c r="B106">
        <v>6.7799999999999999E-2</v>
      </c>
      <c r="C106">
        <v>7.4282000000000004</v>
      </c>
      <c r="D106">
        <v>2.1903999999999999</v>
      </c>
      <c r="E106">
        <f t="shared" si="8"/>
        <v>3.0953250547845142E-2</v>
      </c>
      <c r="F106">
        <f t="shared" si="9"/>
        <v>3.3912527392257124</v>
      </c>
      <c r="G106">
        <f t="shared" si="10"/>
        <v>1.3874175493060628</v>
      </c>
      <c r="H106">
        <f t="shared" si="11"/>
        <v>396.45101022644269</v>
      </c>
      <c r="I106" s="4">
        <f t="shared" si="12"/>
        <v>0.34873894838738762</v>
      </c>
      <c r="J106" s="3">
        <f t="shared" si="15"/>
        <v>0.29452320000000004</v>
      </c>
      <c r="K106" s="3">
        <f t="shared" si="13"/>
        <v>77.996099999999998</v>
      </c>
      <c r="L106" s="3">
        <f t="shared" si="14"/>
        <v>0.37619217725169424</v>
      </c>
    </row>
    <row r="107" spans="1:12">
      <c r="A107" s="2" t="s">
        <v>211</v>
      </c>
      <c r="B107">
        <v>0.36299999999999999</v>
      </c>
      <c r="C107">
        <v>41.209000000000003</v>
      </c>
      <c r="D107">
        <v>11.2538</v>
      </c>
      <c r="E107">
        <f t="shared" si="8"/>
        <v>3.2255771383888111E-2</v>
      </c>
      <c r="F107">
        <f t="shared" si="9"/>
        <v>3.6617853525031547</v>
      </c>
      <c r="G107">
        <f t="shared" si="10"/>
        <v>1.4458004407400169</v>
      </c>
      <c r="H107">
        <f t="shared" si="11"/>
        <v>428.07735484902878</v>
      </c>
      <c r="I107" s="4">
        <f t="shared" si="12"/>
        <v>0.33660593682420636</v>
      </c>
      <c r="J107" s="3">
        <f t="shared" si="15"/>
        <v>1.5768720000000001</v>
      </c>
      <c r="K107" s="3">
        <f t="shared" si="13"/>
        <v>432.69450000000006</v>
      </c>
      <c r="L107" s="3">
        <f t="shared" si="14"/>
        <v>0.36310751794156948</v>
      </c>
    </row>
    <row r="108" spans="1:12">
      <c r="A108" s="2" t="s">
        <v>140</v>
      </c>
      <c r="B108">
        <v>7.0499999999999993E-2</v>
      </c>
      <c r="C108">
        <v>7.8836000000000004</v>
      </c>
      <c r="D108">
        <v>2.4394999999999998</v>
      </c>
      <c r="E108">
        <f t="shared" si="8"/>
        <v>2.889936462389834E-2</v>
      </c>
      <c r="F108">
        <f t="shared" si="9"/>
        <v>3.231645829063333</v>
      </c>
      <c r="G108">
        <f t="shared" si="10"/>
        <v>1.2953562205369953</v>
      </c>
      <c r="H108">
        <f t="shared" si="11"/>
        <v>377.79232400081986</v>
      </c>
      <c r="I108" s="4">
        <f t="shared" si="12"/>
        <v>0.34170359210318074</v>
      </c>
      <c r="J108" s="3">
        <f t="shared" si="15"/>
        <v>0.30625199999999997</v>
      </c>
      <c r="K108" s="3">
        <f t="shared" si="13"/>
        <v>82.777799999999999</v>
      </c>
      <c r="L108" s="3">
        <f t="shared" si="14"/>
        <v>0.36860503625894409</v>
      </c>
    </row>
    <row r="109" spans="1:12">
      <c r="A109" s="2" t="s">
        <v>212</v>
      </c>
      <c r="B109">
        <v>0.30520000000000003</v>
      </c>
      <c r="C109">
        <v>40.14</v>
      </c>
      <c r="D109">
        <v>11.222099999999999</v>
      </c>
      <c r="E109">
        <f t="shared" si="8"/>
        <v>2.7196335801677053E-2</v>
      </c>
      <c r="F109">
        <f t="shared" si="9"/>
        <v>3.5768706391851794</v>
      </c>
      <c r="G109">
        <f t="shared" si="10"/>
        <v>1.2190213596385706</v>
      </c>
      <c r="H109">
        <f t="shared" si="11"/>
        <v>418.15048520330419</v>
      </c>
      <c r="I109" s="4">
        <f t="shared" si="12"/>
        <v>0.29067954168375115</v>
      </c>
      <c r="J109" s="3">
        <f t="shared" si="15"/>
        <v>1.3257888000000002</v>
      </c>
      <c r="K109" s="3">
        <f t="shared" si="13"/>
        <v>421.47</v>
      </c>
      <c r="L109" s="3">
        <f t="shared" si="14"/>
        <v>0.31357663324010859</v>
      </c>
    </row>
    <row r="110" spans="1:12">
      <c r="A110" s="2" t="s">
        <v>93</v>
      </c>
      <c r="B110">
        <v>0.48899999999999999</v>
      </c>
      <c r="C110">
        <v>7.2314999999999996</v>
      </c>
      <c r="D110">
        <v>2.4857</v>
      </c>
      <c r="E110">
        <f t="shared" si="8"/>
        <v>0.19672526853602607</v>
      </c>
      <c r="F110">
        <f t="shared" si="9"/>
        <v>2.9092408577060787</v>
      </c>
      <c r="G110">
        <f t="shared" si="10"/>
        <v>8.8178167115902966</v>
      </c>
      <c r="H110">
        <f t="shared" si="11"/>
        <v>340.10189322927141</v>
      </c>
      <c r="I110" s="4">
        <f t="shared" si="12"/>
        <v>2.5271764421347322</v>
      </c>
      <c r="J110" s="3">
        <f t="shared" si="15"/>
        <v>2.1242160000000001</v>
      </c>
      <c r="K110" s="3">
        <f t="shared" si="13"/>
        <v>75.930749999999989</v>
      </c>
      <c r="L110" s="3">
        <f t="shared" si="14"/>
        <v>2.7214360710886738</v>
      </c>
    </row>
    <row r="111" spans="1:12">
      <c r="A111" s="2" t="s">
        <v>165</v>
      </c>
      <c r="B111">
        <v>0.33050000000000002</v>
      </c>
      <c r="C111">
        <v>4.9504000000000001</v>
      </c>
      <c r="D111">
        <v>1.4491000000000001</v>
      </c>
      <c r="E111">
        <f t="shared" si="8"/>
        <v>0.22807259678421088</v>
      </c>
      <c r="F111">
        <f t="shared" si="9"/>
        <v>3.4161893589124284</v>
      </c>
      <c r="G111">
        <f t="shared" si="10"/>
        <v>10.222898005658685</v>
      </c>
      <c r="H111">
        <f t="shared" si="11"/>
        <v>399.36620081429851</v>
      </c>
      <c r="I111" s="4">
        <f t="shared" si="12"/>
        <v>2.4958911345812838</v>
      </c>
      <c r="J111" s="3">
        <f t="shared" si="15"/>
        <v>1.4356920000000002</v>
      </c>
      <c r="K111" s="3">
        <f t="shared" si="13"/>
        <v>51.979199999999999</v>
      </c>
      <c r="L111" s="3">
        <f t="shared" si="14"/>
        <v>2.6878122303420553</v>
      </c>
    </row>
    <row r="112" spans="1:12">
      <c r="A112" s="2" t="s">
        <v>94</v>
      </c>
      <c r="B112">
        <v>1.1386000000000001</v>
      </c>
      <c r="C112">
        <v>7.2142999999999997</v>
      </c>
      <c r="D112">
        <v>2.61</v>
      </c>
      <c r="E112">
        <f t="shared" si="8"/>
        <v>0.4362452107279694</v>
      </c>
      <c r="F112">
        <f t="shared" si="9"/>
        <v>2.7640996168582377</v>
      </c>
      <c r="G112">
        <f t="shared" si="10"/>
        <v>19.553819080459771</v>
      </c>
      <c r="H112">
        <f t="shared" si="11"/>
        <v>323.1343016091954</v>
      </c>
      <c r="I112" s="4">
        <f t="shared" si="12"/>
        <v>5.706010188245795</v>
      </c>
      <c r="J112" s="3">
        <f t="shared" si="15"/>
        <v>4.9460784000000002</v>
      </c>
      <c r="K112" s="3">
        <f t="shared" si="13"/>
        <v>75.750149999999991</v>
      </c>
      <c r="L112" s="3">
        <f t="shared" si="14"/>
        <v>6.129255974000392</v>
      </c>
    </row>
    <row r="113" spans="1:12">
      <c r="A113" s="2" t="s">
        <v>166</v>
      </c>
      <c r="B113">
        <v>0.73350000000000004</v>
      </c>
      <c r="C113">
        <v>4.8878000000000004</v>
      </c>
      <c r="D113">
        <v>1.4756</v>
      </c>
      <c r="E113">
        <f t="shared" si="8"/>
        <v>0.49708593114665223</v>
      </c>
      <c r="F113">
        <f t="shared" si="9"/>
        <v>3.312415288696124</v>
      </c>
      <c r="G113">
        <f t="shared" si="10"/>
        <v>22.280882691786392</v>
      </c>
      <c r="H113">
        <f t="shared" si="11"/>
        <v>387.23459690973169</v>
      </c>
      <c r="I113" s="4">
        <f t="shared" si="12"/>
        <v>5.4407913257557343</v>
      </c>
      <c r="J113" s="3">
        <f t="shared" si="15"/>
        <v>3.1863240000000004</v>
      </c>
      <c r="K113" s="3">
        <f t="shared" si="13"/>
        <v>51.321900000000007</v>
      </c>
      <c r="L113" s="3">
        <f t="shared" si="14"/>
        <v>5.8455839617889591</v>
      </c>
    </row>
    <row r="114" spans="1:12">
      <c r="A114" s="2" t="s">
        <v>95</v>
      </c>
      <c r="B114">
        <v>1.7498</v>
      </c>
      <c r="C114">
        <v>7.0486000000000004</v>
      </c>
      <c r="D114">
        <v>2.7168000000000001</v>
      </c>
      <c r="E114">
        <f t="shared" si="8"/>
        <v>0.64406654888103654</v>
      </c>
      <c r="F114">
        <f t="shared" si="9"/>
        <v>2.5944493521790344</v>
      </c>
      <c r="G114">
        <f t="shared" si="10"/>
        <v>28.8689949204947</v>
      </c>
      <c r="H114">
        <f t="shared" si="11"/>
        <v>303.30150706713783</v>
      </c>
      <c r="I114" s="4">
        <f t="shared" si="12"/>
        <v>8.691017037259245</v>
      </c>
      <c r="J114" s="3">
        <f t="shared" si="15"/>
        <v>7.6011312000000002</v>
      </c>
      <c r="K114" s="3">
        <f t="shared" si="13"/>
        <v>74.010300000000001</v>
      </c>
      <c r="L114" s="3">
        <f t="shared" si="14"/>
        <v>9.3138070099179924</v>
      </c>
    </row>
    <row r="115" spans="1:12">
      <c r="A115" s="2" t="s">
        <v>167</v>
      </c>
      <c r="B115">
        <v>1.0911999999999999</v>
      </c>
      <c r="C115">
        <v>4.4477000000000002</v>
      </c>
      <c r="D115">
        <v>1.4642999999999999</v>
      </c>
      <c r="E115">
        <f t="shared" si="8"/>
        <v>0.74520248582940651</v>
      </c>
      <c r="F115">
        <f t="shared" si="9"/>
        <v>3.0374240251314624</v>
      </c>
      <c r="G115">
        <f t="shared" si="10"/>
        <v>33.402211022331485</v>
      </c>
      <c r="H115">
        <f t="shared" si="11"/>
        <v>355.08701823396848</v>
      </c>
      <c r="I115" s="4">
        <f t="shared" si="12"/>
        <v>8.5979760845042321</v>
      </c>
      <c r="J115" s="3">
        <f t="shared" si="15"/>
        <v>4.7401727999999999</v>
      </c>
      <c r="K115" s="3">
        <f t="shared" si="13"/>
        <v>46.700850000000003</v>
      </c>
      <c r="L115" s="3">
        <f t="shared" si="14"/>
        <v>9.2147716782956337</v>
      </c>
    </row>
    <row r="116" spans="1:12">
      <c r="A116" s="2" t="s">
        <v>96</v>
      </c>
      <c r="B116">
        <v>0.7883</v>
      </c>
      <c r="C116">
        <v>7.8974000000000002</v>
      </c>
      <c r="D116">
        <v>2.7153999999999998</v>
      </c>
      <c r="E116">
        <f t="shared" si="8"/>
        <v>0.29030713707004496</v>
      </c>
      <c r="F116">
        <f t="shared" si="9"/>
        <v>2.908374456801945</v>
      </c>
      <c r="G116">
        <f t="shared" si="10"/>
        <v>13.012436804890626</v>
      </c>
      <c r="H116">
        <f t="shared" si="11"/>
        <v>340.00060749797456</v>
      </c>
      <c r="I116" s="4">
        <f t="shared" si="12"/>
        <v>3.686106509346633</v>
      </c>
      <c r="J116" s="3">
        <f t="shared" si="15"/>
        <v>3.4243752000000001</v>
      </c>
      <c r="K116" s="3">
        <f t="shared" si="13"/>
        <v>82.922700000000006</v>
      </c>
      <c r="L116" s="3">
        <f t="shared" si="14"/>
        <v>3.9658265112840785</v>
      </c>
    </row>
    <row r="117" spans="1:12">
      <c r="A117" s="2" t="s">
        <v>168</v>
      </c>
      <c r="B117">
        <v>0.46529999999999999</v>
      </c>
      <c r="C117">
        <v>5.0987999999999998</v>
      </c>
      <c r="D117">
        <v>1.4843999999999999</v>
      </c>
      <c r="E117">
        <f t="shared" si="8"/>
        <v>0.31345998383185125</v>
      </c>
      <c r="F117">
        <f t="shared" si="9"/>
        <v>3.4349232012934521</v>
      </c>
      <c r="G117">
        <f t="shared" si="10"/>
        <v>14.050216855295069</v>
      </c>
      <c r="H117">
        <f t="shared" si="11"/>
        <v>401.55626192400973</v>
      </c>
      <c r="I117" s="4">
        <f t="shared" si="12"/>
        <v>3.3806539533653446</v>
      </c>
      <c r="J117" s="3">
        <f t="shared" si="15"/>
        <v>2.0212631999999999</v>
      </c>
      <c r="K117" s="3">
        <f t="shared" si="13"/>
        <v>53.537399999999998</v>
      </c>
      <c r="L117" s="3">
        <f t="shared" si="14"/>
        <v>3.6380702550812991</v>
      </c>
    </row>
    <row r="118" spans="1:12">
      <c r="A118" s="2" t="s">
        <v>97</v>
      </c>
      <c r="B118">
        <v>1.508</v>
      </c>
      <c r="C118">
        <v>7.1920999999999999</v>
      </c>
      <c r="D118">
        <v>2.6918000000000002</v>
      </c>
      <c r="E118">
        <f t="shared" si="8"/>
        <v>0.56021992718626934</v>
      </c>
      <c r="F118">
        <f t="shared" si="9"/>
        <v>2.6718552641355227</v>
      </c>
      <c r="G118">
        <f t="shared" si="10"/>
        <v>25.110737796270151</v>
      </c>
      <c r="H118">
        <f t="shared" si="11"/>
        <v>312.35056779849913</v>
      </c>
      <c r="I118" s="4">
        <f t="shared" si="12"/>
        <v>7.4410717258421508</v>
      </c>
      <c r="J118" s="3">
        <f t="shared" si="15"/>
        <v>6.5507520000000001</v>
      </c>
      <c r="K118" s="3">
        <f t="shared" si="13"/>
        <v>75.517049999999998</v>
      </c>
      <c r="L118" s="3">
        <f t="shared" si="14"/>
        <v>7.9821219045198744</v>
      </c>
    </row>
    <row r="119" spans="1:12">
      <c r="A119" s="2" t="s">
        <v>169</v>
      </c>
      <c r="B119">
        <v>0.85219999999999996</v>
      </c>
      <c r="C119">
        <v>4.6238999999999999</v>
      </c>
      <c r="D119">
        <v>1.5101</v>
      </c>
      <c r="E119">
        <f t="shared" si="8"/>
        <v>0.5643334878484868</v>
      </c>
      <c r="F119">
        <f t="shared" si="9"/>
        <v>3.0619826501556187</v>
      </c>
      <c r="G119">
        <f t="shared" si="10"/>
        <v>25.295119925832726</v>
      </c>
      <c r="H119">
        <f t="shared" si="11"/>
        <v>357.95801973379241</v>
      </c>
      <c r="I119" s="4">
        <f t="shared" si="12"/>
        <v>6.600107685562036</v>
      </c>
      <c r="J119" s="3">
        <f t="shared" si="15"/>
        <v>3.7019568</v>
      </c>
      <c r="K119" s="3">
        <f t="shared" si="13"/>
        <v>48.55095</v>
      </c>
      <c r="L119" s="3">
        <f t="shared" si="14"/>
        <v>7.0846906453824312</v>
      </c>
    </row>
    <row r="120" spans="1:12">
      <c r="A120" s="2" t="s">
        <v>98</v>
      </c>
      <c r="B120">
        <v>2.0032000000000001</v>
      </c>
      <c r="C120">
        <v>6.5837000000000003</v>
      </c>
      <c r="D120">
        <v>2.5992000000000002</v>
      </c>
      <c r="E120">
        <f t="shared" si="8"/>
        <v>0.770698676515851</v>
      </c>
      <c r="F120">
        <f t="shared" si="9"/>
        <v>2.5329716835949521</v>
      </c>
      <c r="G120">
        <f t="shared" si="10"/>
        <v>34.545026777469992</v>
      </c>
      <c r="H120">
        <f t="shared" si="11"/>
        <v>296.11452169898428</v>
      </c>
      <c r="I120" s="4">
        <f t="shared" si="12"/>
        <v>10.44730960791531</v>
      </c>
      <c r="J120" s="3">
        <f t="shared" si="15"/>
        <v>8.7019008000000007</v>
      </c>
      <c r="K120" s="3">
        <f t="shared" si="13"/>
        <v>69.12885</v>
      </c>
      <c r="L120" s="3">
        <f t="shared" si="14"/>
        <v>11.180543307825832</v>
      </c>
    </row>
    <row r="121" spans="1:12">
      <c r="A121" s="2" t="s">
        <v>170</v>
      </c>
      <c r="B121">
        <v>1.2314000000000001</v>
      </c>
      <c r="C121">
        <v>4.3238000000000003</v>
      </c>
      <c r="D121">
        <v>1.4496</v>
      </c>
      <c r="E121">
        <f t="shared" si="8"/>
        <v>0.84947571743929362</v>
      </c>
      <c r="F121">
        <f t="shared" si="9"/>
        <v>2.9827538631346582</v>
      </c>
      <c r="G121">
        <f t="shared" si="10"/>
        <v>38.076050082781457</v>
      </c>
      <c r="H121">
        <f t="shared" si="11"/>
        <v>348.69585761589406</v>
      </c>
      <c r="I121" s="4">
        <f t="shared" si="12"/>
        <v>9.8445748837698854</v>
      </c>
      <c r="J121" s="3">
        <f t="shared" si="15"/>
        <v>5.3492016000000007</v>
      </c>
      <c r="K121" s="3">
        <f t="shared" si="13"/>
        <v>45.399900000000002</v>
      </c>
      <c r="L121" s="3">
        <f t="shared" si="14"/>
        <v>10.540485311763629</v>
      </c>
    </row>
    <row r="122" spans="1:12">
      <c r="A122" s="2" t="s">
        <v>99</v>
      </c>
      <c r="B122">
        <v>0.95809999999999995</v>
      </c>
      <c r="C122">
        <v>7.3301999999999996</v>
      </c>
      <c r="D122">
        <v>2.5617999999999999</v>
      </c>
      <c r="E122">
        <f t="shared" si="8"/>
        <v>0.37399484737294092</v>
      </c>
      <c r="F122">
        <f t="shared" si="9"/>
        <v>2.8613474900460614</v>
      </c>
      <c r="G122">
        <f t="shared" si="10"/>
        <v>16.763571043797331</v>
      </c>
      <c r="H122">
        <f t="shared" si="11"/>
        <v>334.50296697634474</v>
      </c>
      <c r="I122" s="4">
        <f t="shared" si="12"/>
        <v>4.7723222195551358</v>
      </c>
      <c r="J122" s="3">
        <f t="shared" si="15"/>
        <v>4.1619864</v>
      </c>
      <c r="K122" s="3">
        <f t="shared" si="13"/>
        <v>76.967100000000002</v>
      </c>
      <c r="L122" s="3">
        <f t="shared" si="14"/>
        <v>5.1300792165705928</v>
      </c>
    </row>
    <row r="123" spans="1:12">
      <c r="A123" s="2" t="s">
        <v>237</v>
      </c>
      <c r="B123">
        <v>4.4520999999999997</v>
      </c>
      <c r="C123">
        <v>37.502200000000002</v>
      </c>
      <c r="D123">
        <v>11.0718</v>
      </c>
      <c r="E123">
        <f t="shared" si="8"/>
        <v>0.40211167109232465</v>
      </c>
      <c r="F123">
        <f t="shared" si="9"/>
        <v>3.3871818493831176</v>
      </c>
      <c r="G123">
        <f t="shared" si="10"/>
        <v>18.023851433371266</v>
      </c>
      <c r="H123">
        <f t="shared" si="11"/>
        <v>395.97510692028396</v>
      </c>
      <c r="I123" s="4">
        <f t="shared" si="12"/>
        <v>4.3535982566348723</v>
      </c>
      <c r="J123" s="3">
        <f t="shared" si="15"/>
        <v>19.339922399999999</v>
      </c>
      <c r="K123" s="3">
        <f t="shared" si="13"/>
        <v>393.7731</v>
      </c>
      <c r="L123" s="3">
        <f t="shared" si="14"/>
        <v>4.6815087763740273</v>
      </c>
    </row>
    <row r="124" spans="1:12">
      <c r="A124" s="2" t="s">
        <v>100</v>
      </c>
      <c r="B124">
        <v>1.8190999999999999</v>
      </c>
      <c r="C124">
        <v>6.0393999999999997</v>
      </c>
      <c r="D124">
        <v>2.6637</v>
      </c>
      <c r="E124">
        <f t="shared" si="8"/>
        <v>0.6829222510042422</v>
      </c>
      <c r="F124">
        <f t="shared" si="9"/>
        <v>2.2672973683222586</v>
      </c>
      <c r="G124">
        <f t="shared" si="10"/>
        <v>30.610624056763147</v>
      </c>
      <c r="H124">
        <f t="shared" si="11"/>
        <v>265.05613154634528</v>
      </c>
      <c r="I124" s="4">
        <f t="shared" si="12"/>
        <v>10.353082812547806</v>
      </c>
      <c r="J124" s="3">
        <f t="shared" si="15"/>
        <v>7.9021704000000001</v>
      </c>
      <c r="K124" s="3">
        <f t="shared" si="13"/>
        <v>63.413699999999999</v>
      </c>
      <c r="L124" s="3">
        <f t="shared" si="14"/>
        <v>11.080521566487116</v>
      </c>
    </row>
    <row r="125" spans="1:12">
      <c r="A125" s="2" t="s">
        <v>238</v>
      </c>
      <c r="B125">
        <v>8.6410999999999998</v>
      </c>
      <c r="C125">
        <v>36.813400000000001</v>
      </c>
      <c r="D125">
        <v>11.1762</v>
      </c>
      <c r="E125">
        <f t="shared" si="8"/>
        <v>0.77316977147867794</v>
      </c>
      <c r="F125">
        <f t="shared" si="9"/>
        <v>3.2939102736171511</v>
      </c>
      <c r="G125">
        <f t="shared" si="10"/>
        <v>34.655788666988784</v>
      </c>
      <c r="H125">
        <f t="shared" si="11"/>
        <v>385.07128662693941</v>
      </c>
      <c r="I125" s="4">
        <f t="shared" si="12"/>
        <v>8.2567436572253268</v>
      </c>
      <c r="J125" s="3">
        <f t="shared" si="15"/>
        <v>37.536938400000004</v>
      </c>
      <c r="K125" s="3">
        <f t="shared" si="13"/>
        <v>386.54070000000002</v>
      </c>
      <c r="L125" s="3">
        <f t="shared" si="14"/>
        <v>8.8514307289634253</v>
      </c>
    </row>
    <row r="126" spans="1:12">
      <c r="A126" s="2" t="s">
        <v>101</v>
      </c>
      <c r="B126">
        <v>2.4775</v>
      </c>
      <c r="C126">
        <v>6.1885000000000003</v>
      </c>
      <c r="D126">
        <v>2.5985</v>
      </c>
      <c r="E126">
        <f t="shared" si="8"/>
        <v>0.95343467385029823</v>
      </c>
      <c r="F126">
        <f t="shared" si="9"/>
        <v>2.3815662882432171</v>
      </c>
      <c r="G126">
        <f t="shared" si="10"/>
        <v>42.735802385991917</v>
      </c>
      <c r="H126">
        <f t="shared" si="11"/>
        <v>278.41462536078507</v>
      </c>
      <c r="I126" s="4">
        <f t="shared" si="12"/>
        <v>13.307098074204823</v>
      </c>
      <c r="J126" s="3">
        <f t="shared" si="15"/>
        <v>10.762260000000001</v>
      </c>
      <c r="K126" s="3">
        <f t="shared" si="13"/>
        <v>64.979250000000008</v>
      </c>
      <c r="L126" s="3">
        <f t="shared" si="14"/>
        <v>14.209196515886733</v>
      </c>
    </row>
    <row r="127" spans="1:12">
      <c r="A127" s="2" t="s">
        <v>239</v>
      </c>
      <c r="B127">
        <v>11.718400000000001</v>
      </c>
      <c r="C127">
        <v>33.253399999999999</v>
      </c>
      <c r="D127">
        <v>11.0883</v>
      </c>
      <c r="E127">
        <f t="shared" si="8"/>
        <v>1.0568256630863162</v>
      </c>
      <c r="F127">
        <f t="shared" si="9"/>
        <v>2.9989628707736982</v>
      </c>
      <c r="G127">
        <f t="shared" si="10"/>
        <v>47.370096696517955</v>
      </c>
      <c r="H127">
        <f t="shared" si="11"/>
        <v>350.59075544492839</v>
      </c>
      <c r="I127" s="4">
        <f t="shared" si="12"/>
        <v>11.903205162421679</v>
      </c>
      <c r="J127" s="3">
        <f t="shared" si="15"/>
        <v>50.90472960000001</v>
      </c>
      <c r="K127" s="3">
        <f t="shared" si="13"/>
        <v>349.16070000000002</v>
      </c>
      <c r="L127" s="3">
        <f t="shared" si="14"/>
        <v>12.724101067891921</v>
      </c>
    </row>
    <row r="128" spans="1:12">
      <c r="A128" s="2" t="s">
        <v>102</v>
      </c>
      <c r="B128">
        <v>0.98480000000000001</v>
      </c>
      <c r="C128">
        <v>6.6295000000000002</v>
      </c>
      <c r="D128">
        <v>2.3751000000000002</v>
      </c>
      <c r="E128">
        <f t="shared" si="8"/>
        <v>0.41463517325586285</v>
      </c>
      <c r="F128">
        <f t="shared" si="9"/>
        <v>2.7912508946991705</v>
      </c>
      <c r="G128">
        <f t="shared" si="10"/>
        <v>18.58519237084754</v>
      </c>
      <c r="H128">
        <f t="shared" si="11"/>
        <v>326.30839459391183</v>
      </c>
      <c r="I128" s="4">
        <f t="shared" si="12"/>
        <v>5.3886743834255588</v>
      </c>
      <c r="J128" s="3">
        <f t="shared" si="15"/>
        <v>4.2779712000000005</v>
      </c>
      <c r="K128" s="3">
        <f t="shared" si="13"/>
        <v>69.609750000000005</v>
      </c>
      <c r="L128" s="3">
        <f t="shared" si="14"/>
        <v>5.7898269570668539</v>
      </c>
    </row>
    <row r="129" spans="1:12">
      <c r="A129" s="2" t="s">
        <v>240</v>
      </c>
      <c r="B129">
        <v>4.8803000000000001</v>
      </c>
      <c r="C129">
        <v>37.197000000000003</v>
      </c>
      <c r="D129">
        <v>11.0403</v>
      </c>
      <c r="E129">
        <f t="shared" si="8"/>
        <v>0.44204414735106834</v>
      </c>
      <c r="F129">
        <f t="shared" si="9"/>
        <v>3.3692019238607647</v>
      </c>
      <c r="G129">
        <f t="shared" si="10"/>
        <v>19.813744816716937</v>
      </c>
      <c r="H129">
        <f t="shared" si="11"/>
        <v>393.87318170701883</v>
      </c>
      <c r="I129" s="4">
        <f t="shared" si="12"/>
        <v>4.7895506351178101</v>
      </c>
      <c r="J129" s="3">
        <f t="shared" si="15"/>
        <v>21.2000232</v>
      </c>
      <c r="K129" s="3">
        <f t="shared" si="13"/>
        <v>390.56850000000003</v>
      </c>
      <c r="L129" s="3">
        <f t="shared" si="14"/>
        <v>5.14852933275401</v>
      </c>
    </row>
    <row r="130" spans="1:12">
      <c r="A130" s="2" t="s">
        <v>103</v>
      </c>
      <c r="B130">
        <v>1.9469000000000001</v>
      </c>
      <c r="C130">
        <v>6.7907000000000002</v>
      </c>
      <c r="D130">
        <v>2.7113</v>
      </c>
      <c r="E130">
        <f t="shared" ref="E130:E193" si="16">B130/D130</f>
        <v>0.71806882307380226</v>
      </c>
      <c r="F130">
        <f t="shared" ref="F130:F193" si="17">C130/D130</f>
        <v>2.5045918931877695</v>
      </c>
      <c r="G130">
        <f t="shared" ref="G130:G193" si="18">E130*44.823</f>
        <v>32.185998856637042</v>
      </c>
      <c r="H130">
        <f t="shared" ref="H130:H193" si="19">F130*116.904</f>
        <v>292.79681068122301</v>
      </c>
      <c r="I130" s="4">
        <f t="shared" ref="I130:I193" si="20">G130/(G130+H130)*100</f>
        <v>9.9039081182192241</v>
      </c>
      <c r="J130" s="3">
        <f t="shared" si="15"/>
        <v>8.4573336000000001</v>
      </c>
      <c r="K130" s="3">
        <f t="shared" si="13"/>
        <v>71.302350000000004</v>
      </c>
      <c r="L130" s="3">
        <f t="shared" si="14"/>
        <v>10.603519495405822</v>
      </c>
    </row>
    <row r="131" spans="1:12">
      <c r="A131" s="2" t="s">
        <v>241</v>
      </c>
      <c r="B131">
        <v>8.8409999999999993</v>
      </c>
      <c r="C131">
        <v>35.447800000000001</v>
      </c>
      <c r="D131">
        <v>11.1686</v>
      </c>
      <c r="E131">
        <f t="shared" si="16"/>
        <v>0.79159429113765378</v>
      </c>
      <c r="F131">
        <f t="shared" si="17"/>
        <v>3.1738803431047762</v>
      </c>
      <c r="G131">
        <f t="shared" si="18"/>
        <v>35.481630911663053</v>
      </c>
      <c r="H131">
        <f t="shared" si="19"/>
        <v>371.03930763032076</v>
      </c>
      <c r="I131" s="4">
        <f t="shared" si="20"/>
        <v>8.7281189104109718</v>
      </c>
      <c r="J131" s="3">
        <f t="shared" si="15"/>
        <v>38.405304000000001</v>
      </c>
      <c r="K131" s="3">
        <f t="shared" ref="K131:K194" si="21">C131*10.5</f>
        <v>372.20190000000002</v>
      </c>
      <c r="L131" s="3">
        <f t="shared" ref="L131:L194" si="22">J131/(J131+K131)*100</f>
        <v>9.3532952237243254</v>
      </c>
    </row>
    <row r="132" spans="1:12">
      <c r="A132" s="2" t="s">
        <v>104</v>
      </c>
      <c r="B132">
        <v>2.4992999999999999</v>
      </c>
      <c r="C132">
        <v>6.0853999999999999</v>
      </c>
      <c r="D132">
        <v>2.6892</v>
      </c>
      <c r="E132">
        <f t="shared" si="16"/>
        <v>0.92938420348058892</v>
      </c>
      <c r="F132">
        <f t="shared" si="17"/>
        <v>2.2629034657147105</v>
      </c>
      <c r="G132">
        <f t="shared" si="18"/>
        <v>41.657788152610436</v>
      </c>
      <c r="H132">
        <f t="shared" si="19"/>
        <v>264.54246675591253</v>
      </c>
      <c r="I132" s="4">
        <f t="shared" si="20"/>
        <v>13.60475293041662</v>
      </c>
      <c r="J132" s="3">
        <f t="shared" ref="J132:J195" si="23">B132*4.344</f>
        <v>10.8569592</v>
      </c>
      <c r="K132" s="3">
        <f t="shared" si="21"/>
        <v>63.896699999999996</v>
      </c>
      <c r="L132" s="3">
        <f t="shared" si="22"/>
        <v>14.523649164722094</v>
      </c>
    </row>
    <row r="133" spans="1:12">
      <c r="A133" s="2" t="s">
        <v>242</v>
      </c>
      <c r="B133">
        <v>11.5966</v>
      </c>
      <c r="C133">
        <v>33.136400000000002</v>
      </c>
      <c r="D133">
        <v>11.215199999999999</v>
      </c>
      <c r="E133">
        <f t="shared" si="16"/>
        <v>1.0340074185034598</v>
      </c>
      <c r="F133">
        <f t="shared" si="17"/>
        <v>2.9545973321920256</v>
      </c>
      <c r="G133">
        <f t="shared" si="18"/>
        <v>46.347314519580578</v>
      </c>
      <c r="H133">
        <f t="shared" si="19"/>
        <v>345.40424652257656</v>
      </c>
      <c r="I133" s="4">
        <f t="shared" si="20"/>
        <v>11.830792555436187</v>
      </c>
      <c r="J133" s="3">
        <f t="shared" si="23"/>
        <v>50.375630400000006</v>
      </c>
      <c r="K133" s="3">
        <f t="shared" si="21"/>
        <v>347.93220000000002</v>
      </c>
      <c r="L133" s="3">
        <f t="shared" si="22"/>
        <v>12.647411513203332</v>
      </c>
    </row>
    <row r="134" spans="1:12">
      <c r="A134" s="2" t="s">
        <v>171</v>
      </c>
      <c r="B134">
        <v>0.61460000000000004</v>
      </c>
      <c r="C134">
        <v>4.6349999999999998</v>
      </c>
      <c r="D134">
        <v>1.4164000000000001</v>
      </c>
      <c r="E134">
        <f t="shared" si="16"/>
        <v>0.43391697260660828</v>
      </c>
      <c r="F134">
        <f t="shared" si="17"/>
        <v>3.2723806834227616</v>
      </c>
      <c r="G134">
        <f t="shared" si="18"/>
        <v>19.449460463146004</v>
      </c>
      <c r="H134">
        <f t="shared" si="19"/>
        <v>382.55439141485448</v>
      </c>
      <c r="I134" s="4">
        <f t="shared" si="20"/>
        <v>4.838127886657289</v>
      </c>
      <c r="J134" s="3">
        <f t="shared" si="23"/>
        <v>2.6698224000000002</v>
      </c>
      <c r="K134" s="3">
        <f t="shared" si="21"/>
        <v>48.667499999999997</v>
      </c>
      <c r="L134" s="3">
        <f t="shared" si="22"/>
        <v>5.2005485973689982</v>
      </c>
    </row>
    <row r="135" spans="1:12">
      <c r="A135" s="2" t="s">
        <v>243</v>
      </c>
      <c r="B135">
        <v>4.9657</v>
      </c>
      <c r="C135">
        <v>37.341900000000003</v>
      </c>
      <c r="D135">
        <v>11.631</v>
      </c>
      <c r="E135">
        <f t="shared" si="16"/>
        <v>0.42693663485512851</v>
      </c>
      <c r="F135">
        <f t="shared" si="17"/>
        <v>3.2105493938612333</v>
      </c>
      <c r="G135">
        <f t="shared" si="18"/>
        <v>19.136580784111427</v>
      </c>
      <c r="H135">
        <f t="shared" si="19"/>
        <v>375.32606633995363</v>
      </c>
      <c r="I135" s="4">
        <f t="shared" si="20"/>
        <v>4.8513036465256638</v>
      </c>
      <c r="J135" s="3">
        <f t="shared" si="23"/>
        <v>21.5710008</v>
      </c>
      <c r="K135" s="3">
        <f t="shared" si="21"/>
        <v>392.08995000000004</v>
      </c>
      <c r="L135" s="3">
        <f t="shared" si="22"/>
        <v>5.2146572593527969</v>
      </c>
    </row>
    <row r="136" spans="1:12">
      <c r="A136" s="2" t="s">
        <v>172</v>
      </c>
      <c r="B136">
        <v>1.0430999999999999</v>
      </c>
      <c r="C136">
        <v>4.2058</v>
      </c>
      <c r="D136">
        <v>1.4255</v>
      </c>
      <c r="E136">
        <f t="shared" si="16"/>
        <v>0.7317432479831637</v>
      </c>
      <c r="F136">
        <f t="shared" si="17"/>
        <v>2.9504033672395651</v>
      </c>
      <c r="G136">
        <f t="shared" si="18"/>
        <v>32.798927604349345</v>
      </c>
      <c r="H136">
        <f t="shared" si="19"/>
        <v>344.91395524377413</v>
      </c>
      <c r="I136" s="4">
        <f t="shared" si="20"/>
        <v>8.6835607398484314</v>
      </c>
      <c r="J136" s="3">
        <f t="shared" si="23"/>
        <v>4.5312263999999995</v>
      </c>
      <c r="K136" s="3">
        <f t="shared" si="21"/>
        <v>44.160899999999998</v>
      </c>
      <c r="L136" s="3">
        <f t="shared" si="22"/>
        <v>9.3058708563608743</v>
      </c>
    </row>
    <row r="137" spans="1:12">
      <c r="A137" s="2" t="s">
        <v>244</v>
      </c>
      <c r="B137">
        <v>8.1478000000000002</v>
      </c>
      <c r="C137">
        <v>35.514499999999998</v>
      </c>
      <c r="D137">
        <v>11.250999999999999</v>
      </c>
      <c r="E137">
        <f t="shared" si="16"/>
        <v>0.72418451693182828</v>
      </c>
      <c r="F137">
        <f t="shared" si="17"/>
        <v>3.1565638609901341</v>
      </c>
      <c r="G137">
        <f t="shared" si="18"/>
        <v>32.460122602435341</v>
      </c>
      <c r="H137">
        <f t="shared" si="19"/>
        <v>369.01494160519064</v>
      </c>
      <c r="I137" s="4">
        <f t="shared" si="20"/>
        <v>8.0852151220152315</v>
      </c>
      <c r="J137" s="3">
        <f t="shared" si="23"/>
        <v>35.394043200000006</v>
      </c>
      <c r="K137" s="3">
        <f t="shared" si="21"/>
        <v>372.90224999999998</v>
      </c>
      <c r="L137" s="3">
        <f t="shared" si="22"/>
        <v>8.668715290702524</v>
      </c>
    </row>
    <row r="138" spans="1:12">
      <c r="A138" s="2" t="s">
        <v>173</v>
      </c>
      <c r="B138">
        <v>1.292</v>
      </c>
      <c r="C138">
        <v>3.9051</v>
      </c>
      <c r="D138">
        <v>1.4342999999999999</v>
      </c>
      <c r="E138">
        <f t="shared" si="16"/>
        <v>0.90078784075855822</v>
      </c>
      <c r="F138">
        <f t="shared" si="17"/>
        <v>2.7226521648190758</v>
      </c>
      <c r="G138">
        <f t="shared" si="18"/>
        <v>40.376013386320857</v>
      </c>
      <c r="H138">
        <f t="shared" si="19"/>
        <v>318.28892867600922</v>
      </c>
      <c r="I138" s="4">
        <f t="shared" si="20"/>
        <v>11.257306932246578</v>
      </c>
      <c r="J138" s="3">
        <f t="shared" si="23"/>
        <v>5.6124480000000005</v>
      </c>
      <c r="K138" s="3">
        <f t="shared" si="21"/>
        <v>41.003549999999997</v>
      </c>
      <c r="L138" s="3">
        <f t="shared" si="22"/>
        <v>12.039746526503627</v>
      </c>
    </row>
    <row r="139" spans="1:12">
      <c r="A139" s="2" t="s">
        <v>245</v>
      </c>
      <c r="B139">
        <v>10.101100000000001</v>
      </c>
      <c r="C139">
        <v>33.6965</v>
      </c>
      <c r="D139">
        <v>11.2737</v>
      </c>
      <c r="E139">
        <f t="shared" si="16"/>
        <v>0.8959880074864508</v>
      </c>
      <c r="F139">
        <f t="shared" si="17"/>
        <v>2.9889477278976733</v>
      </c>
      <c r="G139">
        <f t="shared" si="18"/>
        <v>40.160870459565182</v>
      </c>
      <c r="H139">
        <f t="shared" si="19"/>
        <v>349.4199451821496</v>
      </c>
      <c r="I139" s="4">
        <f t="shared" si="20"/>
        <v>10.308739251806452</v>
      </c>
      <c r="J139" s="3">
        <f t="shared" si="23"/>
        <v>43.879178400000008</v>
      </c>
      <c r="K139" s="3">
        <f t="shared" si="21"/>
        <v>353.81324999999998</v>
      </c>
      <c r="L139" s="3">
        <f t="shared" si="22"/>
        <v>11.033445765245052</v>
      </c>
    </row>
    <row r="140" spans="1:12">
      <c r="A140" s="2" t="s">
        <v>174</v>
      </c>
      <c r="B140">
        <v>0.25929999999999997</v>
      </c>
      <c r="C140">
        <v>4.9412000000000003</v>
      </c>
      <c r="D140">
        <v>1.4489000000000001</v>
      </c>
      <c r="E140">
        <f t="shared" si="16"/>
        <v>0.17896335150804055</v>
      </c>
      <c r="F140">
        <f t="shared" si="17"/>
        <v>3.4103112706190903</v>
      </c>
      <c r="G140">
        <f t="shared" si="18"/>
        <v>8.0216743046449022</v>
      </c>
      <c r="H140">
        <f t="shared" si="19"/>
        <v>398.67902878045413</v>
      </c>
      <c r="I140" s="4">
        <f t="shared" si="20"/>
        <v>1.9723777814483954</v>
      </c>
      <c r="J140" s="3">
        <f t="shared" si="23"/>
        <v>1.1263992</v>
      </c>
      <c r="K140" s="3">
        <f t="shared" si="21"/>
        <v>51.882600000000004</v>
      </c>
      <c r="L140" s="3">
        <f t="shared" si="22"/>
        <v>2.1249207059166659</v>
      </c>
    </row>
    <row r="141" spans="1:12">
      <c r="A141" s="2" t="s">
        <v>246</v>
      </c>
      <c r="B141">
        <v>2.7151000000000001</v>
      </c>
      <c r="C141">
        <v>39.625900000000001</v>
      </c>
      <c r="D141">
        <v>11.2698</v>
      </c>
      <c r="E141">
        <f t="shared" si="16"/>
        <v>0.24091820617934659</v>
      </c>
      <c r="F141">
        <f t="shared" si="17"/>
        <v>3.5161138618254095</v>
      </c>
      <c r="G141">
        <f t="shared" si="18"/>
        <v>10.798676755576853</v>
      </c>
      <c r="H141">
        <f t="shared" si="19"/>
        <v>411.04777490283766</v>
      </c>
      <c r="I141" s="4">
        <f t="shared" si="20"/>
        <v>2.559859568125741</v>
      </c>
      <c r="J141" s="3">
        <f t="shared" si="23"/>
        <v>11.794394400000002</v>
      </c>
      <c r="K141" s="3">
        <f t="shared" si="21"/>
        <v>416.07195000000002</v>
      </c>
      <c r="L141" s="3">
        <f t="shared" si="22"/>
        <v>2.7565604433177291</v>
      </c>
    </row>
    <row r="142" spans="1:12">
      <c r="A142" s="2" t="s">
        <v>175</v>
      </c>
      <c r="B142">
        <v>0.2243</v>
      </c>
      <c r="C142">
        <v>4.6528999999999998</v>
      </c>
      <c r="D142">
        <v>1.4265000000000001</v>
      </c>
      <c r="E142">
        <f t="shared" si="16"/>
        <v>0.15723799509288466</v>
      </c>
      <c r="F142">
        <f t="shared" si="17"/>
        <v>3.2617595513494564</v>
      </c>
      <c r="G142">
        <f t="shared" si="18"/>
        <v>7.0478786540483691</v>
      </c>
      <c r="H142">
        <f t="shared" si="19"/>
        <v>381.31273859095683</v>
      </c>
      <c r="I142" s="4">
        <f t="shared" si="20"/>
        <v>1.8147768700249212</v>
      </c>
      <c r="J142" s="3">
        <f t="shared" si="23"/>
        <v>0.97435920000000009</v>
      </c>
      <c r="K142" s="3">
        <f t="shared" si="21"/>
        <v>48.855449999999998</v>
      </c>
      <c r="L142" s="3">
        <f t="shared" si="22"/>
        <v>1.9553741337624873</v>
      </c>
    </row>
    <row r="143" spans="1:12">
      <c r="A143" s="2" t="s">
        <v>247</v>
      </c>
      <c r="B143">
        <v>2.5933000000000002</v>
      </c>
      <c r="C143">
        <v>39.555399999999999</v>
      </c>
      <c r="D143">
        <v>11.1814</v>
      </c>
      <c r="E143">
        <f t="shared" si="16"/>
        <v>0.23192981200922963</v>
      </c>
      <c r="F143">
        <f t="shared" si="17"/>
        <v>3.5376070975012071</v>
      </c>
      <c r="G143">
        <f t="shared" si="18"/>
        <v>10.395789963689699</v>
      </c>
      <c r="H143">
        <f t="shared" si="19"/>
        <v>413.56042012628109</v>
      </c>
      <c r="I143" s="4">
        <f t="shared" si="20"/>
        <v>2.4520905028100741</v>
      </c>
      <c r="J143" s="3">
        <f t="shared" si="23"/>
        <v>11.265295200000001</v>
      </c>
      <c r="K143" s="3">
        <f t="shared" si="21"/>
        <v>415.33170000000001</v>
      </c>
      <c r="L143" s="3">
        <f t="shared" si="22"/>
        <v>2.6407347746831946</v>
      </c>
    </row>
    <row r="144" spans="1:12">
      <c r="A144" s="2" t="s">
        <v>176</v>
      </c>
      <c r="B144">
        <v>0.20499999999999999</v>
      </c>
      <c r="C144">
        <v>5.6604000000000001</v>
      </c>
      <c r="D144">
        <v>1.7769999999999999</v>
      </c>
      <c r="E144">
        <f t="shared" si="16"/>
        <v>0.11536297129994372</v>
      </c>
      <c r="F144">
        <f t="shared" si="17"/>
        <v>3.1853685987619587</v>
      </c>
      <c r="G144">
        <f t="shared" si="18"/>
        <v>5.1709144625773771</v>
      </c>
      <c r="H144">
        <f t="shared" si="19"/>
        <v>372.38233066966802</v>
      </c>
      <c r="I144" s="4">
        <f t="shared" si="20"/>
        <v>1.3695854900588029</v>
      </c>
      <c r="J144" s="3">
        <f t="shared" si="23"/>
        <v>0.89051999999999998</v>
      </c>
      <c r="K144" s="3">
        <f t="shared" si="21"/>
        <v>59.434200000000004</v>
      </c>
      <c r="L144" s="3">
        <f t="shared" si="22"/>
        <v>1.4762107474348822</v>
      </c>
    </row>
    <row r="145" spans="1:12">
      <c r="A145" s="2" t="s">
        <v>248</v>
      </c>
      <c r="B145">
        <v>1.6516</v>
      </c>
      <c r="C145">
        <v>37.646000000000001</v>
      </c>
      <c r="D145">
        <v>10.8057</v>
      </c>
      <c r="E145">
        <f t="shared" si="16"/>
        <v>0.15284525759552828</v>
      </c>
      <c r="F145">
        <f t="shared" si="17"/>
        <v>3.4839020146774389</v>
      </c>
      <c r="G145">
        <f t="shared" si="18"/>
        <v>6.8509829812043641</v>
      </c>
      <c r="H145">
        <f t="shared" si="19"/>
        <v>407.2820811238513</v>
      </c>
      <c r="I145" s="4">
        <f t="shared" si="20"/>
        <v>1.6542950986078313</v>
      </c>
      <c r="J145" s="3">
        <f t="shared" si="23"/>
        <v>7.1745504000000002</v>
      </c>
      <c r="K145" s="3">
        <f t="shared" si="21"/>
        <v>395.28300000000002</v>
      </c>
      <c r="L145" s="3">
        <f t="shared" si="22"/>
        <v>1.7826850043859932</v>
      </c>
    </row>
    <row r="146" spans="1:12">
      <c r="A146" s="2" t="s">
        <v>51</v>
      </c>
      <c r="B146">
        <v>0.70899999999999996</v>
      </c>
      <c r="C146">
        <v>5.4432</v>
      </c>
      <c r="D146">
        <v>1.9338</v>
      </c>
      <c r="E146">
        <f t="shared" si="16"/>
        <v>0.3666356396731823</v>
      </c>
      <c r="F146">
        <f t="shared" si="17"/>
        <v>2.8147688488985416</v>
      </c>
      <c r="G146">
        <f t="shared" si="18"/>
        <v>16.433709277071049</v>
      </c>
      <c r="H146">
        <f t="shared" si="19"/>
        <v>329.05773751163508</v>
      </c>
      <c r="I146" s="4">
        <f t="shared" si="20"/>
        <v>4.7566182693725239</v>
      </c>
      <c r="J146" s="3">
        <f t="shared" si="23"/>
        <v>3.0798960000000002</v>
      </c>
      <c r="K146" s="3">
        <f t="shared" si="21"/>
        <v>57.153599999999997</v>
      </c>
      <c r="L146" s="3">
        <f t="shared" si="22"/>
        <v>5.1132612325872646</v>
      </c>
    </row>
    <row r="147" spans="1:12">
      <c r="A147" s="2" t="s">
        <v>189</v>
      </c>
      <c r="B147">
        <v>4.3304999999999998</v>
      </c>
      <c r="C147">
        <v>35.353299999999997</v>
      </c>
      <c r="D147">
        <v>10.5138</v>
      </c>
      <c r="E147">
        <f t="shared" si="16"/>
        <v>0.41188723392113219</v>
      </c>
      <c r="F147">
        <f t="shared" si="17"/>
        <v>3.3625615857254272</v>
      </c>
      <c r="G147">
        <f t="shared" si="18"/>
        <v>18.462021486046908</v>
      </c>
      <c r="H147">
        <f t="shared" si="19"/>
        <v>393.09689961764531</v>
      </c>
      <c r="I147" s="4">
        <f t="shared" si="20"/>
        <v>4.4858756643001794</v>
      </c>
      <c r="J147" s="3">
        <f t="shared" si="23"/>
        <v>18.811692000000001</v>
      </c>
      <c r="K147" s="3">
        <f t="shared" si="21"/>
        <v>371.20964999999995</v>
      </c>
      <c r="L147" s="3">
        <f t="shared" si="22"/>
        <v>4.8232468263236736</v>
      </c>
    </row>
    <row r="148" spans="1:12">
      <c r="A148" s="2" t="s">
        <v>52</v>
      </c>
      <c r="B148">
        <v>1.3804000000000001</v>
      </c>
      <c r="C148">
        <v>4.726</v>
      </c>
      <c r="D148">
        <v>1.9895</v>
      </c>
      <c r="E148">
        <f t="shared" si="16"/>
        <v>0.69384267403870326</v>
      </c>
      <c r="F148">
        <f t="shared" si="17"/>
        <v>2.3754712239256093</v>
      </c>
      <c r="G148">
        <f t="shared" si="18"/>
        <v>31.100110178436797</v>
      </c>
      <c r="H148">
        <f t="shared" si="19"/>
        <v>277.70208796179941</v>
      </c>
      <c r="I148" s="4">
        <f t="shared" si="20"/>
        <v>10.071207512685294</v>
      </c>
      <c r="J148" s="3">
        <f t="shared" si="23"/>
        <v>5.9964576000000012</v>
      </c>
      <c r="K148" s="3">
        <f t="shared" si="21"/>
        <v>49.622999999999998</v>
      </c>
      <c r="L148" s="3">
        <f t="shared" si="22"/>
        <v>10.781222720877453</v>
      </c>
    </row>
    <row r="149" spans="1:12">
      <c r="A149" s="2" t="s">
        <v>190</v>
      </c>
      <c r="B149">
        <v>8.02</v>
      </c>
      <c r="C149">
        <v>33.988399999999999</v>
      </c>
      <c r="D149">
        <v>10.5891</v>
      </c>
      <c r="E149">
        <f t="shared" si="16"/>
        <v>0.75738259153280252</v>
      </c>
      <c r="F149">
        <f t="shared" si="17"/>
        <v>3.2097534256924574</v>
      </c>
      <c r="G149">
        <f t="shared" si="18"/>
        <v>33.94815990027481</v>
      </c>
      <c r="H149">
        <f t="shared" si="19"/>
        <v>375.23301447715102</v>
      </c>
      <c r="I149" s="4">
        <f t="shared" si="20"/>
        <v>8.2966084527049304</v>
      </c>
      <c r="J149" s="3">
        <f t="shared" si="23"/>
        <v>34.838880000000003</v>
      </c>
      <c r="K149" s="3">
        <f t="shared" si="21"/>
        <v>356.87819999999999</v>
      </c>
      <c r="L149" s="3">
        <f t="shared" si="22"/>
        <v>8.8938884155881084</v>
      </c>
    </row>
    <row r="150" spans="1:12">
      <c r="A150" s="2" t="s">
        <v>53</v>
      </c>
      <c r="B150">
        <v>1.5981000000000001</v>
      </c>
      <c r="C150">
        <v>3.9645999999999999</v>
      </c>
      <c r="D150">
        <v>1.6789000000000001</v>
      </c>
      <c r="E150">
        <f t="shared" si="16"/>
        <v>0.95187325034248615</v>
      </c>
      <c r="F150">
        <f t="shared" si="17"/>
        <v>2.3614271249032104</v>
      </c>
      <c r="G150">
        <f t="shared" si="18"/>
        <v>42.665814700101258</v>
      </c>
      <c r="H150">
        <f t="shared" si="19"/>
        <v>276.06027660968488</v>
      </c>
      <c r="I150" s="4">
        <f t="shared" si="20"/>
        <v>13.386357710712856</v>
      </c>
      <c r="J150" s="3">
        <f t="shared" si="23"/>
        <v>6.9421464000000004</v>
      </c>
      <c r="K150" s="3">
        <f t="shared" si="21"/>
        <v>41.628299999999996</v>
      </c>
      <c r="L150" s="3">
        <f t="shared" si="22"/>
        <v>14.292943373071409</v>
      </c>
    </row>
    <row r="151" spans="1:12">
      <c r="A151" s="2" t="s">
        <v>191</v>
      </c>
      <c r="B151">
        <v>11.045299999999999</v>
      </c>
      <c r="C151">
        <v>31.238700000000001</v>
      </c>
      <c r="D151">
        <v>10.5954</v>
      </c>
      <c r="E151">
        <f t="shared" si="16"/>
        <v>1.042461823055288</v>
      </c>
      <c r="F151">
        <f t="shared" si="17"/>
        <v>2.9483266323121358</v>
      </c>
      <c r="G151">
        <f t="shared" si="18"/>
        <v>46.726266294807175</v>
      </c>
      <c r="H151">
        <f t="shared" si="19"/>
        <v>344.67117662381793</v>
      </c>
      <c r="I151" s="4">
        <f t="shared" si="20"/>
        <v>11.93831670088912</v>
      </c>
      <c r="J151" s="3">
        <f t="shared" si="23"/>
        <v>47.980783199999998</v>
      </c>
      <c r="K151" s="3">
        <f t="shared" si="21"/>
        <v>328.00635</v>
      </c>
      <c r="L151" s="3">
        <f t="shared" si="22"/>
        <v>12.761283289574015</v>
      </c>
    </row>
    <row r="152" spans="1:12">
      <c r="A152" s="2" t="s">
        <v>54</v>
      </c>
      <c r="B152">
        <v>0.85419999999999996</v>
      </c>
      <c r="C152">
        <v>5.6593</v>
      </c>
      <c r="D152">
        <v>2.0518999999999998</v>
      </c>
      <c r="E152">
        <f t="shared" si="16"/>
        <v>0.41629709050148644</v>
      </c>
      <c r="F152">
        <f t="shared" si="17"/>
        <v>2.7580778790389395</v>
      </c>
      <c r="G152">
        <f t="shared" si="18"/>
        <v>18.659684487548127</v>
      </c>
      <c r="H152">
        <f t="shared" si="19"/>
        <v>322.43033637116815</v>
      </c>
      <c r="I152" s="4">
        <f t="shared" si="20"/>
        <v>5.4706040477440991</v>
      </c>
      <c r="J152" s="3">
        <f t="shared" si="23"/>
        <v>3.7106448000000003</v>
      </c>
      <c r="K152" s="3">
        <f t="shared" si="21"/>
        <v>59.422649999999997</v>
      </c>
      <c r="L152" s="3">
        <f t="shared" si="22"/>
        <v>5.8774768713639203</v>
      </c>
    </row>
    <row r="153" spans="1:12">
      <c r="A153" s="2" t="s">
        <v>192</v>
      </c>
      <c r="B153">
        <v>4.7813999999999997</v>
      </c>
      <c r="C153">
        <v>35.535200000000003</v>
      </c>
      <c r="D153">
        <v>10.5684</v>
      </c>
      <c r="E153">
        <f t="shared" si="16"/>
        <v>0.45242420801635058</v>
      </c>
      <c r="F153">
        <f t="shared" si="17"/>
        <v>3.3624011203209569</v>
      </c>
      <c r="G153">
        <f t="shared" si="18"/>
        <v>20.279010275916882</v>
      </c>
      <c r="H153">
        <f t="shared" si="19"/>
        <v>393.07814057000115</v>
      </c>
      <c r="I153" s="4">
        <f t="shared" si="20"/>
        <v>4.9059294690842377</v>
      </c>
      <c r="J153" s="3">
        <f t="shared" si="23"/>
        <v>20.7704016</v>
      </c>
      <c r="K153" s="3">
        <f t="shared" si="21"/>
        <v>373.11960000000005</v>
      </c>
      <c r="L153" s="3">
        <f t="shared" si="22"/>
        <v>5.2731477101804138</v>
      </c>
    </row>
    <row r="154" spans="1:12">
      <c r="A154" s="2" t="s">
        <v>55</v>
      </c>
      <c r="B154">
        <v>1.4198999999999999</v>
      </c>
      <c r="C154">
        <v>4.8727</v>
      </c>
      <c r="D154">
        <v>2.0205000000000002</v>
      </c>
      <c r="E154">
        <f t="shared" si="16"/>
        <v>0.70274684484038596</v>
      </c>
      <c r="F154">
        <f t="shared" si="17"/>
        <v>2.4116307844592919</v>
      </c>
      <c r="G154">
        <f t="shared" si="18"/>
        <v>31.499221826280621</v>
      </c>
      <c r="H154">
        <f t="shared" si="19"/>
        <v>281.92928522642904</v>
      </c>
      <c r="I154" s="4">
        <f t="shared" si="20"/>
        <v>10.049890522875558</v>
      </c>
      <c r="J154" s="3">
        <f t="shared" si="23"/>
        <v>6.1680456000000001</v>
      </c>
      <c r="K154" s="3">
        <f t="shared" si="21"/>
        <v>51.163350000000001</v>
      </c>
      <c r="L154" s="3">
        <f t="shared" si="22"/>
        <v>10.75858268484223</v>
      </c>
    </row>
    <row r="155" spans="1:12">
      <c r="A155" s="2" t="s">
        <v>193</v>
      </c>
      <c r="B155">
        <v>8.4693000000000005</v>
      </c>
      <c r="C155">
        <v>33.870100000000001</v>
      </c>
      <c r="D155">
        <v>10.651899999999999</v>
      </c>
      <c r="E155">
        <f t="shared" si="16"/>
        <v>0.79509758822369725</v>
      </c>
      <c r="F155">
        <f t="shared" si="17"/>
        <v>3.1797238051427446</v>
      </c>
      <c r="G155">
        <f t="shared" si="18"/>
        <v>35.638659196950783</v>
      </c>
      <c r="H155">
        <f t="shared" si="19"/>
        <v>371.72243171640741</v>
      </c>
      <c r="I155" s="4">
        <f t="shared" si="20"/>
        <v>8.7486654940569135</v>
      </c>
      <c r="J155" s="3">
        <f t="shared" si="23"/>
        <v>36.790639200000008</v>
      </c>
      <c r="K155" s="3">
        <f t="shared" si="21"/>
        <v>355.63605000000001</v>
      </c>
      <c r="L155" s="3">
        <f t="shared" si="22"/>
        <v>9.3751623456093949</v>
      </c>
    </row>
    <row r="156" spans="1:12">
      <c r="A156" s="2" t="s">
        <v>56</v>
      </c>
      <c r="B156">
        <v>1.66</v>
      </c>
      <c r="C156">
        <v>4.0605000000000002</v>
      </c>
      <c r="D156">
        <v>1.7844</v>
      </c>
      <c r="E156">
        <f t="shared" si="16"/>
        <v>0.93028468953149512</v>
      </c>
      <c r="F156">
        <f t="shared" si="17"/>
        <v>2.2755548083389376</v>
      </c>
      <c r="G156">
        <f t="shared" si="18"/>
        <v>41.698150638870203</v>
      </c>
      <c r="H156">
        <f t="shared" si="19"/>
        <v>266.02145931405516</v>
      </c>
      <c r="I156" s="4">
        <f t="shared" si="20"/>
        <v>13.550696572522353</v>
      </c>
      <c r="J156" s="3">
        <f t="shared" si="23"/>
        <v>7.2110400000000006</v>
      </c>
      <c r="K156" s="3">
        <f t="shared" si="21"/>
        <v>42.635249999999999</v>
      </c>
      <c r="L156" s="3">
        <f t="shared" si="22"/>
        <v>14.466553077470762</v>
      </c>
    </row>
    <row r="157" spans="1:12">
      <c r="A157" s="2" t="s">
        <v>194</v>
      </c>
      <c r="B157">
        <v>11.328099999999999</v>
      </c>
      <c r="C157">
        <v>31.7364</v>
      </c>
      <c r="D157">
        <v>10.9335</v>
      </c>
      <c r="E157">
        <f t="shared" si="16"/>
        <v>1.0360909132482736</v>
      </c>
      <c r="F157">
        <f t="shared" si="17"/>
        <v>2.9026752640965836</v>
      </c>
      <c r="G157">
        <f t="shared" si="18"/>
        <v>46.440703004527371</v>
      </c>
      <c r="H157">
        <f t="shared" si="19"/>
        <v>339.33434907394701</v>
      </c>
      <c r="I157" s="4">
        <f t="shared" si="20"/>
        <v>12.038285719699779</v>
      </c>
      <c r="J157" s="3">
        <f t="shared" si="23"/>
        <v>49.209266399999997</v>
      </c>
      <c r="K157" s="3">
        <f t="shared" si="21"/>
        <v>333.23219999999998</v>
      </c>
      <c r="L157" s="3">
        <f t="shared" si="22"/>
        <v>12.867136731593707</v>
      </c>
    </row>
    <row r="158" spans="1:12">
      <c r="A158" s="2" t="s">
        <v>123</v>
      </c>
      <c r="B158">
        <v>0.92330000000000001</v>
      </c>
      <c r="C158">
        <v>7.7564000000000002</v>
      </c>
      <c r="D158">
        <v>2.3774000000000002</v>
      </c>
      <c r="E158">
        <f t="shared" si="16"/>
        <v>0.38836544123832756</v>
      </c>
      <c r="F158">
        <f t="shared" si="17"/>
        <v>3.2625557331538655</v>
      </c>
      <c r="G158">
        <f t="shared" si="18"/>
        <v>17.407704172625557</v>
      </c>
      <c r="H158">
        <f t="shared" si="19"/>
        <v>381.40581542861946</v>
      </c>
      <c r="I158" s="4">
        <f t="shared" si="20"/>
        <v>4.3648731341983353</v>
      </c>
      <c r="J158" s="3">
        <f t="shared" si="23"/>
        <v>4.0108152000000006</v>
      </c>
      <c r="K158" s="3">
        <f t="shared" si="21"/>
        <v>81.4422</v>
      </c>
      <c r="L158" s="3">
        <f t="shared" si="22"/>
        <v>4.6935911981722569</v>
      </c>
    </row>
    <row r="159" spans="1:12">
      <c r="A159" s="2" t="s">
        <v>195</v>
      </c>
      <c r="B159">
        <v>4.3289</v>
      </c>
      <c r="C159">
        <v>37.794600000000003</v>
      </c>
      <c r="D159">
        <v>11.1021</v>
      </c>
      <c r="E159">
        <f t="shared" si="16"/>
        <v>0.38991722286774572</v>
      </c>
      <c r="F159">
        <f t="shared" si="17"/>
        <v>3.4042748669170702</v>
      </c>
      <c r="G159">
        <f t="shared" si="18"/>
        <v>17.477259680600966</v>
      </c>
      <c r="H159">
        <f t="shared" si="19"/>
        <v>397.97334904207315</v>
      </c>
      <c r="I159" s="4">
        <f t="shared" si="20"/>
        <v>4.2068200921249748</v>
      </c>
      <c r="J159" s="3">
        <f t="shared" si="23"/>
        <v>18.8047416</v>
      </c>
      <c r="K159" s="3">
        <f t="shared" si="21"/>
        <v>396.8433</v>
      </c>
      <c r="L159" s="3">
        <f t="shared" si="22"/>
        <v>4.5241982922890305</v>
      </c>
    </row>
    <row r="160" spans="1:12">
      <c r="A160" s="2" t="s">
        <v>124</v>
      </c>
      <c r="B160">
        <v>1.5195000000000001</v>
      </c>
      <c r="C160">
        <v>7.3738000000000001</v>
      </c>
      <c r="D160">
        <v>2.444</v>
      </c>
      <c r="E160">
        <f t="shared" si="16"/>
        <v>0.62172667757774147</v>
      </c>
      <c r="F160">
        <f t="shared" si="17"/>
        <v>3.0171031096563015</v>
      </c>
      <c r="G160">
        <f t="shared" si="18"/>
        <v>27.867654869067106</v>
      </c>
      <c r="H160">
        <f t="shared" si="19"/>
        <v>352.71142193126025</v>
      </c>
      <c r="I160" s="4">
        <f t="shared" si="20"/>
        <v>7.322434828357105</v>
      </c>
      <c r="J160" s="3">
        <f t="shared" si="23"/>
        <v>6.6007080000000009</v>
      </c>
      <c r="K160" s="3">
        <f t="shared" si="21"/>
        <v>77.424900000000008</v>
      </c>
      <c r="L160" s="3">
        <f t="shared" si="22"/>
        <v>7.855590881294189</v>
      </c>
    </row>
    <row r="161" spans="1:12">
      <c r="A161" s="2" t="s">
        <v>196</v>
      </c>
      <c r="B161">
        <v>6.8346999999999998</v>
      </c>
      <c r="C161">
        <v>36.506300000000003</v>
      </c>
      <c r="D161">
        <v>11.1457</v>
      </c>
      <c r="E161">
        <f t="shared" si="16"/>
        <v>0.6132140646168478</v>
      </c>
      <c r="F161">
        <f t="shared" si="17"/>
        <v>3.2753707707905293</v>
      </c>
      <c r="G161">
        <f t="shared" si="18"/>
        <v>27.486094018320969</v>
      </c>
      <c r="H161">
        <f t="shared" si="19"/>
        <v>382.90394458849602</v>
      </c>
      <c r="I161" s="4">
        <f t="shared" si="20"/>
        <v>6.6975538957110547</v>
      </c>
      <c r="J161" s="3">
        <f t="shared" si="23"/>
        <v>29.689936800000002</v>
      </c>
      <c r="K161" s="3">
        <f t="shared" si="21"/>
        <v>383.31615000000005</v>
      </c>
      <c r="L161" s="3">
        <f t="shared" si="22"/>
        <v>7.1887407350433268</v>
      </c>
    </row>
    <row r="162" spans="1:12">
      <c r="A162" s="2" t="s">
        <v>125</v>
      </c>
      <c r="B162">
        <v>1.8176000000000001</v>
      </c>
      <c r="C162">
        <v>6.8775000000000004</v>
      </c>
      <c r="D162">
        <v>2.4321000000000002</v>
      </c>
      <c r="E162">
        <f t="shared" si="16"/>
        <v>0.74733769170675546</v>
      </c>
      <c r="F162">
        <f t="shared" si="17"/>
        <v>2.8278031330948563</v>
      </c>
      <c r="G162">
        <f t="shared" si="18"/>
        <v>33.497917355371904</v>
      </c>
      <c r="H162">
        <f t="shared" si="19"/>
        <v>330.58149747132109</v>
      </c>
      <c r="I162" s="4">
        <f t="shared" si="20"/>
        <v>9.2007172037774758</v>
      </c>
      <c r="J162" s="3">
        <f t="shared" si="23"/>
        <v>7.8956544000000006</v>
      </c>
      <c r="K162" s="3">
        <f t="shared" si="21"/>
        <v>72.213750000000005</v>
      </c>
      <c r="L162" s="3">
        <f t="shared" si="22"/>
        <v>9.8560892558577056</v>
      </c>
    </row>
    <row r="163" spans="1:12">
      <c r="A163" s="2" t="s">
        <v>197</v>
      </c>
      <c r="B163">
        <v>8.3975000000000009</v>
      </c>
      <c r="C163">
        <v>34.689</v>
      </c>
      <c r="D163">
        <v>11.2395</v>
      </c>
      <c r="E163">
        <f t="shared" si="16"/>
        <v>0.74714177676942939</v>
      </c>
      <c r="F163">
        <f t="shared" si="17"/>
        <v>3.0863472574402775</v>
      </c>
      <c r="G163">
        <f t="shared" si="18"/>
        <v>33.48913586013613</v>
      </c>
      <c r="H163">
        <f t="shared" si="19"/>
        <v>360.80633978379819</v>
      </c>
      <c r="I163" s="4">
        <f t="shared" si="20"/>
        <v>8.4934111418458809</v>
      </c>
      <c r="J163" s="3">
        <f t="shared" si="23"/>
        <v>36.478740000000009</v>
      </c>
      <c r="K163" s="3">
        <f t="shared" si="21"/>
        <v>364.23450000000003</v>
      </c>
      <c r="L163" s="3">
        <f t="shared" si="22"/>
        <v>9.1034526336090131</v>
      </c>
    </row>
    <row r="164" spans="1:12">
      <c r="A164" s="2" t="s">
        <v>126</v>
      </c>
      <c r="B164">
        <v>0.1517</v>
      </c>
      <c r="C164">
        <v>8.1801999999999992</v>
      </c>
      <c r="D164">
        <v>2.4073000000000002</v>
      </c>
      <c r="E164">
        <f t="shared" si="16"/>
        <v>6.3016657666265102E-2</v>
      </c>
      <c r="F164">
        <f t="shared" si="17"/>
        <v>3.3980808374527474</v>
      </c>
      <c r="G164">
        <f t="shared" si="18"/>
        <v>2.8245956465750006</v>
      </c>
      <c r="H164">
        <f t="shared" si="19"/>
        <v>397.24924222157597</v>
      </c>
      <c r="I164" s="4">
        <f t="shared" si="20"/>
        <v>0.70601858437588694</v>
      </c>
      <c r="J164" s="3">
        <f t="shared" si="23"/>
        <v>0.65898480000000004</v>
      </c>
      <c r="K164" s="3">
        <f t="shared" si="21"/>
        <v>85.892099999999999</v>
      </c>
      <c r="L164" s="3">
        <f t="shared" si="22"/>
        <v>0.76138248471727998</v>
      </c>
    </row>
    <row r="165" spans="1:12">
      <c r="A165" s="2" t="s">
        <v>198</v>
      </c>
      <c r="B165">
        <v>0.45440000000000003</v>
      </c>
      <c r="C165">
        <v>40.371000000000002</v>
      </c>
      <c r="D165">
        <v>11.233599999999999</v>
      </c>
      <c r="E165">
        <f t="shared" si="16"/>
        <v>4.0450078336419316E-2</v>
      </c>
      <c r="F165">
        <f t="shared" si="17"/>
        <v>3.5937722546645783</v>
      </c>
      <c r="G165">
        <f t="shared" si="18"/>
        <v>1.8130938612733229</v>
      </c>
      <c r="H165">
        <f t="shared" si="19"/>
        <v>420.12635165930783</v>
      </c>
      <c r="I165" s="4">
        <f t="shared" si="20"/>
        <v>0.42970475515422857</v>
      </c>
      <c r="J165" s="3">
        <f t="shared" si="23"/>
        <v>1.9739136000000002</v>
      </c>
      <c r="K165" s="3">
        <f t="shared" si="21"/>
        <v>423.89550000000003</v>
      </c>
      <c r="L165" s="3">
        <f t="shared" si="22"/>
        <v>0.46350208232000628</v>
      </c>
    </row>
    <row r="166" spans="1:12">
      <c r="A166" s="2" t="s">
        <v>127</v>
      </c>
      <c r="B166">
        <v>8.1000000000000003E-2</v>
      </c>
      <c r="C166">
        <v>7.9635999999999996</v>
      </c>
      <c r="D166">
        <v>2.3555999999999999</v>
      </c>
      <c r="E166">
        <f t="shared" si="16"/>
        <v>3.4386143657666839E-2</v>
      </c>
      <c r="F166">
        <f t="shared" si="17"/>
        <v>3.3807097979283407</v>
      </c>
      <c r="G166">
        <f t="shared" si="18"/>
        <v>1.5412901171676008</v>
      </c>
      <c r="H166">
        <f t="shared" si="19"/>
        <v>395.21849821701471</v>
      </c>
      <c r="I166" s="4">
        <f t="shared" si="20"/>
        <v>0.38846933648160054</v>
      </c>
      <c r="J166" s="3">
        <f t="shared" si="23"/>
        <v>0.35186400000000001</v>
      </c>
      <c r="K166" s="3">
        <f t="shared" si="21"/>
        <v>83.617799999999988</v>
      </c>
      <c r="L166" s="3">
        <f t="shared" si="22"/>
        <v>0.41903704652194401</v>
      </c>
    </row>
    <row r="167" spans="1:12">
      <c r="A167" s="2" t="s">
        <v>199</v>
      </c>
      <c r="B167">
        <v>0.4471</v>
      </c>
      <c r="C167">
        <v>40.500799999999998</v>
      </c>
      <c r="D167">
        <v>11.026400000000001</v>
      </c>
      <c r="E167">
        <f t="shared" si="16"/>
        <v>4.0548139011826162E-2</v>
      </c>
      <c r="F167">
        <f t="shared" si="17"/>
        <v>3.6730755278241309</v>
      </c>
      <c r="G167">
        <f t="shared" si="18"/>
        <v>1.8174892349270841</v>
      </c>
      <c r="H167">
        <f t="shared" si="19"/>
        <v>429.39722150475217</v>
      </c>
      <c r="I167" s="4">
        <f t="shared" si="20"/>
        <v>0.42148126899693994</v>
      </c>
      <c r="J167" s="3">
        <f t="shared" si="23"/>
        <v>1.9422024000000002</v>
      </c>
      <c r="K167" s="3">
        <f t="shared" si="21"/>
        <v>425.25839999999999</v>
      </c>
      <c r="L167" s="3">
        <f t="shared" si="22"/>
        <v>0.45463475217234389</v>
      </c>
    </row>
    <row r="168" spans="1:12">
      <c r="A168" s="2" t="s">
        <v>128</v>
      </c>
      <c r="B168">
        <v>8.5599999999999996E-2</v>
      </c>
      <c r="C168">
        <v>7.6883999999999997</v>
      </c>
      <c r="D168">
        <v>2.3574000000000002</v>
      </c>
      <c r="E168">
        <f t="shared" si="16"/>
        <v>3.6311190294392122E-2</v>
      </c>
      <c r="F168">
        <f t="shared" si="17"/>
        <v>3.2613896665818269</v>
      </c>
      <c r="G168">
        <f t="shared" si="18"/>
        <v>1.6275764825655381</v>
      </c>
      <c r="H168">
        <f t="shared" si="19"/>
        <v>381.2694975820819</v>
      </c>
      <c r="I168" s="4">
        <f t="shared" si="20"/>
        <v>0.42506892656242701</v>
      </c>
      <c r="J168" s="3">
        <f t="shared" si="23"/>
        <v>0.37184640000000002</v>
      </c>
      <c r="K168" s="3">
        <f t="shared" si="21"/>
        <v>80.728200000000001</v>
      </c>
      <c r="L168" s="3">
        <f t="shared" si="22"/>
        <v>0.45850331350735213</v>
      </c>
    </row>
    <row r="169" spans="1:12">
      <c r="A169" s="2" t="s">
        <v>200</v>
      </c>
      <c r="B169">
        <v>0.36969999999999997</v>
      </c>
      <c r="C169">
        <v>39.319699999999997</v>
      </c>
      <c r="D169">
        <v>11.215400000000001</v>
      </c>
      <c r="E169">
        <f t="shared" si="16"/>
        <v>3.2963603616455943E-2</v>
      </c>
      <c r="F169">
        <f t="shared" si="17"/>
        <v>3.5058669329671699</v>
      </c>
      <c r="G169">
        <f t="shared" si="18"/>
        <v>1.4775276049004047</v>
      </c>
      <c r="H169">
        <f t="shared" si="19"/>
        <v>409.84986793159402</v>
      </c>
      <c r="I169" s="4">
        <f t="shared" si="20"/>
        <v>0.35920962739991219</v>
      </c>
      <c r="J169" s="3">
        <f t="shared" si="23"/>
        <v>1.6059768000000001</v>
      </c>
      <c r="K169" s="3">
        <f t="shared" si="21"/>
        <v>412.85684999999995</v>
      </c>
      <c r="L169" s="3">
        <f t="shared" si="22"/>
        <v>0.38748391801491239</v>
      </c>
    </row>
    <row r="170" spans="1:12">
      <c r="A170" s="2" t="s">
        <v>45</v>
      </c>
      <c r="B170">
        <v>0.35680000000000001</v>
      </c>
      <c r="C170">
        <v>5.7244999999999999</v>
      </c>
      <c r="D170">
        <v>1.9916</v>
      </c>
      <c r="E170">
        <f t="shared" si="16"/>
        <v>0.179152440249046</v>
      </c>
      <c r="F170">
        <f t="shared" si="17"/>
        <v>2.8743221530427796</v>
      </c>
      <c r="G170">
        <f t="shared" si="18"/>
        <v>8.0301498292829887</v>
      </c>
      <c r="H170">
        <f t="shared" si="19"/>
        <v>336.01975697931312</v>
      </c>
      <c r="I170" s="4">
        <f t="shared" si="20"/>
        <v>2.334007267657936</v>
      </c>
      <c r="J170" s="3">
        <f t="shared" si="23"/>
        <v>1.5499392000000001</v>
      </c>
      <c r="K170" s="3">
        <f t="shared" si="21"/>
        <v>60.107250000000001</v>
      </c>
      <c r="L170" s="3">
        <f t="shared" si="22"/>
        <v>2.5138012616377914</v>
      </c>
    </row>
    <row r="171" spans="1:12">
      <c r="A171" s="2" t="s">
        <v>117</v>
      </c>
      <c r="B171">
        <v>0.62280000000000002</v>
      </c>
      <c r="C171">
        <v>9.0611999999999995</v>
      </c>
      <c r="D171">
        <v>2.6886000000000001</v>
      </c>
      <c r="E171">
        <f t="shared" si="16"/>
        <v>0.2316447221602321</v>
      </c>
      <c r="F171">
        <f t="shared" si="17"/>
        <v>3.3702298594063822</v>
      </c>
      <c r="G171">
        <f t="shared" si="18"/>
        <v>10.383011381388084</v>
      </c>
      <c r="H171">
        <f t="shared" si="19"/>
        <v>393.99335148404367</v>
      </c>
      <c r="I171" s="4">
        <f t="shared" si="20"/>
        <v>2.5676603122431612</v>
      </c>
      <c r="J171" s="3">
        <f t="shared" si="23"/>
        <v>2.7054432000000004</v>
      </c>
      <c r="K171" s="3">
        <f t="shared" si="21"/>
        <v>95.142599999999987</v>
      </c>
      <c r="L171" s="3">
        <f t="shared" si="22"/>
        <v>2.764943591636384</v>
      </c>
    </row>
    <row r="172" spans="1:12">
      <c r="A172" s="2" t="s">
        <v>46</v>
      </c>
      <c r="B172">
        <v>0.84189999999999998</v>
      </c>
      <c r="C172">
        <v>5.3803999999999998</v>
      </c>
      <c r="D172">
        <v>2.0095000000000001</v>
      </c>
      <c r="E172">
        <f t="shared" si="16"/>
        <v>0.41895994028365263</v>
      </c>
      <c r="F172">
        <f t="shared" si="17"/>
        <v>2.6774819606867379</v>
      </c>
      <c r="G172">
        <f t="shared" si="18"/>
        <v>18.779041403334162</v>
      </c>
      <c r="H172">
        <f t="shared" si="19"/>
        <v>313.00835113212241</v>
      </c>
      <c r="I172" s="4">
        <f t="shared" si="20"/>
        <v>5.6599623209996848</v>
      </c>
      <c r="J172" s="3">
        <f t="shared" si="23"/>
        <v>3.6572136000000004</v>
      </c>
      <c r="K172" s="3">
        <f t="shared" si="21"/>
        <v>56.494199999999999</v>
      </c>
      <c r="L172" s="3">
        <f t="shared" si="22"/>
        <v>6.0800127230925138</v>
      </c>
    </row>
    <row r="173" spans="1:12">
      <c r="A173" s="2" t="s">
        <v>118</v>
      </c>
      <c r="B173">
        <v>1.2999000000000001</v>
      </c>
      <c r="C173">
        <v>8.5396999999999998</v>
      </c>
      <c r="D173">
        <v>2.6446999999999998</v>
      </c>
      <c r="E173">
        <f t="shared" si="16"/>
        <v>0.49151132453586421</v>
      </c>
      <c r="F173">
        <f t="shared" si="17"/>
        <v>3.2289862744356639</v>
      </c>
      <c r="G173">
        <f t="shared" si="18"/>
        <v>22.031012099671042</v>
      </c>
      <c r="H173">
        <f t="shared" si="19"/>
        <v>377.48141142662683</v>
      </c>
      <c r="I173" s="4">
        <f t="shared" si="20"/>
        <v>5.5144748454163786</v>
      </c>
      <c r="J173" s="3">
        <f t="shared" si="23"/>
        <v>5.6467656000000011</v>
      </c>
      <c r="K173" s="3">
        <f t="shared" si="21"/>
        <v>89.666849999999997</v>
      </c>
      <c r="L173" s="3">
        <f t="shared" si="22"/>
        <v>5.9244060404734045</v>
      </c>
    </row>
    <row r="174" spans="1:12">
      <c r="A174" s="2" t="s">
        <v>47</v>
      </c>
      <c r="B174">
        <v>1.3278000000000001</v>
      </c>
      <c r="C174">
        <v>4.9840999999999998</v>
      </c>
      <c r="D174">
        <v>1.9951000000000001</v>
      </c>
      <c r="E174">
        <f t="shared" si="16"/>
        <v>0.66553054984712545</v>
      </c>
      <c r="F174">
        <f t="shared" si="17"/>
        <v>2.4981705177685325</v>
      </c>
      <c r="G174">
        <f t="shared" si="18"/>
        <v>29.831075835797705</v>
      </c>
      <c r="H174">
        <f t="shared" si="19"/>
        <v>292.0461262092125</v>
      </c>
      <c r="I174" s="4">
        <f t="shared" si="20"/>
        <v>9.2678436516377545</v>
      </c>
      <c r="J174" s="3">
        <f t="shared" si="23"/>
        <v>5.7679632000000005</v>
      </c>
      <c r="K174" s="3">
        <f t="shared" si="21"/>
        <v>52.33305</v>
      </c>
      <c r="L174" s="3">
        <f t="shared" si="22"/>
        <v>9.9274743800853376</v>
      </c>
    </row>
    <row r="175" spans="1:12">
      <c r="A175" s="2" t="s">
        <v>119</v>
      </c>
      <c r="B175">
        <v>1.9594</v>
      </c>
      <c r="C175">
        <v>7.8040000000000003</v>
      </c>
      <c r="D175">
        <v>2.5951</v>
      </c>
      <c r="E175">
        <f t="shared" si="16"/>
        <v>0.7550383414897307</v>
      </c>
      <c r="F175">
        <f t="shared" si="17"/>
        <v>3.0072058880197297</v>
      </c>
      <c r="G175">
        <f t="shared" si="18"/>
        <v>33.843083580594197</v>
      </c>
      <c r="H175">
        <f t="shared" si="19"/>
        <v>351.55439713305844</v>
      </c>
      <c r="I175" s="4">
        <f t="shared" si="20"/>
        <v>8.7813453056117279</v>
      </c>
      <c r="J175" s="3">
        <f t="shared" si="23"/>
        <v>8.5116336000000015</v>
      </c>
      <c r="K175" s="3">
        <f t="shared" si="21"/>
        <v>81.942000000000007</v>
      </c>
      <c r="L175" s="3">
        <f t="shared" si="22"/>
        <v>9.4099410507263475</v>
      </c>
    </row>
    <row r="176" spans="1:12">
      <c r="A176" s="2" t="s">
        <v>48</v>
      </c>
      <c r="B176">
        <v>0.56340000000000001</v>
      </c>
      <c r="C176">
        <v>5.4203000000000001</v>
      </c>
      <c r="D176">
        <v>1.8887</v>
      </c>
      <c r="E176">
        <f t="shared" si="16"/>
        <v>0.29830041827712184</v>
      </c>
      <c r="F176">
        <f t="shared" si="17"/>
        <v>2.8698575739926935</v>
      </c>
      <c r="G176">
        <f t="shared" si="18"/>
        <v>13.370719648435433</v>
      </c>
      <c r="H176">
        <f t="shared" si="19"/>
        <v>335.49782983004184</v>
      </c>
      <c r="I176" s="4">
        <f t="shared" si="20"/>
        <v>3.8325953051438106</v>
      </c>
      <c r="J176" s="3">
        <f t="shared" si="23"/>
        <v>2.4474096000000003</v>
      </c>
      <c r="K176" s="3">
        <f t="shared" si="21"/>
        <v>56.913150000000002</v>
      </c>
      <c r="L176" s="3">
        <f t="shared" si="22"/>
        <v>4.1229557411382629</v>
      </c>
    </row>
    <row r="177" spans="1:12">
      <c r="A177" s="2" t="s">
        <v>120</v>
      </c>
      <c r="B177">
        <v>0.74139999999999995</v>
      </c>
      <c r="C177">
        <v>8.0009999999999994</v>
      </c>
      <c r="D177">
        <v>2.3605</v>
      </c>
      <c r="E177">
        <f t="shared" si="16"/>
        <v>0.31408599872908277</v>
      </c>
      <c r="F177">
        <f t="shared" si="17"/>
        <v>3.389536115229824</v>
      </c>
      <c r="G177">
        <f t="shared" si="18"/>
        <v>14.078276721033678</v>
      </c>
      <c r="H177">
        <f t="shared" si="19"/>
        <v>396.25033001482734</v>
      </c>
      <c r="I177" s="4">
        <f t="shared" si="20"/>
        <v>3.4309761712753857</v>
      </c>
      <c r="J177" s="3">
        <f t="shared" si="23"/>
        <v>3.2206416</v>
      </c>
      <c r="K177" s="3">
        <f t="shared" si="21"/>
        <v>84.010499999999993</v>
      </c>
      <c r="L177" s="3">
        <f t="shared" si="22"/>
        <v>3.692077784294411</v>
      </c>
    </row>
    <row r="178" spans="1:12">
      <c r="A178" s="2" t="s">
        <v>49</v>
      </c>
      <c r="B178">
        <v>1.2382</v>
      </c>
      <c r="C178">
        <v>5.5376000000000003</v>
      </c>
      <c r="D178">
        <v>2.1478000000000002</v>
      </c>
      <c r="E178">
        <f t="shared" si="16"/>
        <v>0.57649688052891324</v>
      </c>
      <c r="F178">
        <f t="shared" si="17"/>
        <v>2.578266132787038</v>
      </c>
      <c r="G178">
        <f t="shared" si="18"/>
        <v>25.840319675947477</v>
      </c>
      <c r="H178">
        <f t="shared" si="19"/>
        <v>301.40962398733586</v>
      </c>
      <c r="I178" s="4">
        <f t="shared" si="20"/>
        <v>7.8962029409958614</v>
      </c>
      <c r="J178" s="3">
        <f t="shared" si="23"/>
        <v>5.3787408000000001</v>
      </c>
      <c r="K178" s="3">
        <f t="shared" si="21"/>
        <v>58.144800000000004</v>
      </c>
      <c r="L178" s="3">
        <f t="shared" si="22"/>
        <v>8.4673189376118643</v>
      </c>
    </row>
    <row r="179" spans="1:12">
      <c r="A179" s="2" t="s">
        <v>121</v>
      </c>
      <c r="B179">
        <v>1.5303</v>
      </c>
      <c r="C179">
        <v>7.5667</v>
      </c>
      <c r="D179">
        <v>2.4289999999999998</v>
      </c>
      <c r="E179">
        <f t="shared" si="16"/>
        <v>0.63001235076163031</v>
      </c>
      <c r="F179">
        <f t="shared" si="17"/>
        <v>3.1151502675998355</v>
      </c>
      <c r="G179">
        <f t="shared" si="18"/>
        <v>28.239043598188555</v>
      </c>
      <c r="H179">
        <f t="shared" si="19"/>
        <v>364.17352688349115</v>
      </c>
      <c r="I179" s="4">
        <f t="shared" si="20"/>
        <v>7.1962637597275778</v>
      </c>
      <c r="J179" s="3">
        <f t="shared" si="23"/>
        <v>6.6476232000000008</v>
      </c>
      <c r="K179" s="3">
        <f t="shared" si="21"/>
        <v>79.45035</v>
      </c>
      <c r="L179" s="3">
        <f t="shared" si="22"/>
        <v>7.7209984775808884</v>
      </c>
    </row>
    <row r="180" spans="1:12">
      <c r="A180" s="2" t="s">
        <v>50</v>
      </c>
      <c r="B180">
        <v>1.3782000000000001</v>
      </c>
      <c r="C180">
        <v>4.4481999999999999</v>
      </c>
      <c r="D180">
        <v>1.8744000000000001</v>
      </c>
      <c r="E180">
        <f t="shared" si="16"/>
        <v>0.73527528809218956</v>
      </c>
      <c r="F180">
        <f t="shared" si="17"/>
        <v>2.3731327358087921</v>
      </c>
      <c r="G180">
        <f t="shared" si="18"/>
        <v>32.957244238156214</v>
      </c>
      <c r="H180">
        <f t="shared" si="19"/>
        <v>277.42870934699101</v>
      </c>
      <c r="I180" s="4">
        <f t="shared" si="20"/>
        <v>10.618149390292933</v>
      </c>
      <c r="J180" s="3">
        <f t="shared" si="23"/>
        <v>5.9869008000000008</v>
      </c>
      <c r="K180" s="3">
        <f t="shared" si="21"/>
        <v>46.706099999999999</v>
      </c>
      <c r="L180" s="3">
        <f t="shared" si="22"/>
        <v>11.3618520659389</v>
      </c>
    </row>
    <row r="181" spans="1:12">
      <c r="A181" s="2" t="s">
        <v>122</v>
      </c>
      <c r="B181">
        <v>2.1985000000000001</v>
      </c>
      <c r="C181">
        <v>7.2111000000000001</v>
      </c>
      <c r="D181">
        <v>2.5005000000000002</v>
      </c>
      <c r="E181">
        <f t="shared" si="16"/>
        <v>0.87922415516896624</v>
      </c>
      <c r="F181">
        <f t="shared" si="17"/>
        <v>2.8838632273545288</v>
      </c>
      <c r="G181">
        <f t="shared" si="18"/>
        <v>39.409464307138578</v>
      </c>
      <c r="H181">
        <f t="shared" si="19"/>
        <v>337.13514673065384</v>
      </c>
      <c r="I181" s="4">
        <f t="shared" si="20"/>
        <v>10.4660810835992</v>
      </c>
      <c r="J181" s="3">
        <f t="shared" si="23"/>
        <v>9.5502840000000013</v>
      </c>
      <c r="K181" s="3">
        <f t="shared" si="21"/>
        <v>75.716549999999998</v>
      </c>
      <c r="L181" s="3">
        <f t="shared" si="22"/>
        <v>11.20046746428981</v>
      </c>
    </row>
    <row r="182" spans="1:12">
      <c r="A182" s="2" t="s">
        <v>33</v>
      </c>
      <c r="B182">
        <v>0.64510000000000001</v>
      </c>
      <c r="C182">
        <v>12.2121</v>
      </c>
      <c r="D182">
        <v>4.2733999999999996</v>
      </c>
      <c r="E182">
        <f t="shared" si="16"/>
        <v>0.15095708335283381</v>
      </c>
      <c r="F182">
        <f t="shared" si="17"/>
        <v>2.8577011279075211</v>
      </c>
      <c r="G182">
        <f t="shared" si="18"/>
        <v>6.7663493471240699</v>
      </c>
      <c r="H182">
        <f t="shared" si="19"/>
        <v>334.07669265690083</v>
      </c>
      <c r="I182" s="4">
        <f t="shared" si="20"/>
        <v>1.9851804242036337</v>
      </c>
      <c r="J182" s="3">
        <f t="shared" si="23"/>
        <v>2.8023144000000002</v>
      </c>
      <c r="K182" s="3">
        <f t="shared" si="21"/>
        <v>128.22704999999999</v>
      </c>
      <c r="L182" s="3">
        <f t="shared" si="22"/>
        <v>2.1386918976766407</v>
      </c>
    </row>
    <row r="183" spans="1:12">
      <c r="A183" s="11" t="s">
        <v>105</v>
      </c>
      <c r="B183" s="12">
        <v>0.47760000000000002</v>
      </c>
      <c r="C183" s="12">
        <v>6.8456000000000001</v>
      </c>
      <c r="D183" s="12">
        <v>2.0207000000000002</v>
      </c>
      <c r="E183">
        <f t="shared" si="16"/>
        <v>0.23635373880338495</v>
      </c>
      <c r="F183">
        <f t="shared" si="17"/>
        <v>3.3877369228485175</v>
      </c>
      <c r="G183">
        <f t="shared" si="18"/>
        <v>10.594083634384123</v>
      </c>
      <c r="H183">
        <f t="shared" si="19"/>
        <v>396.03999722868309</v>
      </c>
      <c r="I183" s="4">
        <f t="shared" si="20"/>
        <v>2.6053112940997312</v>
      </c>
      <c r="J183" s="3">
        <f t="shared" si="23"/>
        <v>2.0746944000000003</v>
      </c>
      <c r="K183" s="3">
        <f t="shared" si="21"/>
        <v>71.878799999999998</v>
      </c>
      <c r="L183" s="3">
        <f t="shared" si="22"/>
        <v>2.8054041486915868</v>
      </c>
    </row>
    <row r="184" spans="1:12">
      <c r="A184" s="2" t="s">
        <v>34</v>
      </c>
      <c r="B184">
        <v>1.3734999999999999</v>
      </c>
      <c r="C184">
        <v>7.8699000000000003</v>
      </c>
      <c r="D184">
        <v>2.9771000000000001</v>
      </c>
      <c r="E184">
        <f t="shared" si="16"/>
        <v>0.46135500990897177</v>
      </c>
      <c r="F184">
        <f t="shared" si="17"/>
        <v>2.6434785529542171</v>
      </c>
      <c r="G184">
        <f t="shared" si="18"/>
        <v>20.679315609149842</v>
      </c>
      <c r="H184">
        <f t="shared" si="19"/>
        <v>309.03321675455976</v>
      </c>
      <c r="I184" s="4">
        <f t="shared" si="20"/>
        <v>6.2719228355985743</v>
      </c>
      <c r="J184" s="3">
        <f t="shared" si="23"/>
        <v>5.9664840000000003</v>
      </c>
      <c r="K184" s="3">
        <f t="shared" si="21"/>
        <v>82.633949999999999</v>
      </c>
      <c r="L184" s="3">
        <f t="shared" si="22"/>
        <v>6.7341476002250742</v>
      </c>
    </row>
    <row r="185" spans="1:12">
      <c r="A185" s="2" t="s">
        <v>106</v>
      </c>
      <c r="B185">
        <v>1.4751000000000001</v>
      </c>
      <c r="C185">
        <v>9.0276999999999994</v>
      </c>
      <c r="D185">
        <v>2.8521999999999998</v>
      </c>
      <c r="E185">
        <f t="shared" si="16"/>
        <v>0.51717972091718678</v>
      </c>
      <c r="F185">
        <f t="shared" si="17"/>
        <v>3.1651707453895237</v>
      </c>
      <c r="G185">
        <f t="shared" si="18"/>
        <v>23.181546630671065</v>
      </c>
      <c r="H185">
        <f t="shared" si="19"/>
        <v>370.02112081901686</v>
      </c>
      <c r="I185" s="4">
        <f t="shared" si="20"/>
        <v>5.8955720674599057</v>
      </c>
      <c r="J185" s="3">
        <f t="shared" si="23"/>
        <v>6.4078344000000005</v>
      </c>
      <c r="K185" s="3">
        <f t="shared" si="21"/>
        <v>94.790849999999992</v>
      </c>
      <c r="L185" s="3">
        <f t="shared" si="22"/>
        <v>6.3319344890614024</v>
      </c>
    </row>
    <row r="186" spans="1:12">
      <c r="A186" s="2" t="s">
        <v>35</v>
      </c>
      <c r="B186">
        <v>2.0078999999999998</v>
      </c>
      <c r="C186">
        <v>7.0076999999999998</v>
      </c>
      <c r="D186">
        <v>2.8308</v>
      </c>
      <c r="E186">
        <f t="shared" si="16"/>
        <v>0.70930479016532422</v>
      </c>
      <c r="F186">
        <f t="shared" si="17"/>
        <v>2.4755192878338277</v>
      </c>
      <c r="G186">
        <f t="shared" si="18"/>
        <v>31.793168609580327</v>
      </c>
      <c r="H186">
        <f t="shared" si="19"/>
        <v>289.39810682492578</v>
      </c>
      <c r="I186" s="4">
        <f t="shared" si="20"/>
        <v>9.8985156326462089</v>
      </c>
      <c r="J186" s="3">
        <f t="shared" si="23"/>
        <v>8.7223176000000002</v>
      </c>
      <c r="K186" s="3">
        <f t="shared" si="21"/>
        <v>73.580849999999998</v>
      </c>
      <c r="L186" s="3">
        <f t="shared" si="22"/>
        <v>10.597790892315547</v>
      </c>
    </row>
    <row r="187" spans="1:12">
      <c r="A187" s="2" t="s">
        <v>107</v>
      </c>
      <c r="B187">
        <v>2.1751</v>
      </c>
      <c r="C187">
        <v>8.2364999999999995</v>
      </c>
      <c r="D187">
        <v>2.7664</v>
      </c>
      <c r="E187">
        <f t="shared" si="16"/>
        <v>0.78625650665124347</v>
      </c>
      <c r="F187">
        <f t="shared" si="17"/>
        <v>2.9773351648351647</v>
      </c>
      <c r="G187">
        <f t="shared" si="18"/>
        <v>35.242375397628685</v>
      </c>
      <c r="H187">
        <f t="shared" si="19"/>
        <v>348.06239010989009</v>
      </c>
      <c r="I187" s="4">
        <f t="shared" si="20"/>
        <v>9.194348353839441</v>
      </c>
      <c r="J187" s="3">
        <f t="shared" si="23"/>
        <v>9.4486344000000013</v>
      </c>
      <c r="K187" s="3">
        <f t="shared" si="21"/>
        <v>86.483249999999998</v>
      </c>
      <c r="L187" s="3">
        <f t="shared" si="22"/>
        <v>9.8493159590222756</v>
      </c>
    </row>
    <row r="188" spans="1:12">
      <c r="A188" s="2" t="s">
        <v>36</v>
      </c>
      <c r="B188">
        <v>0.82099999999999995</v>
      </c>
      <c r="C188">
        <v>7.7751999999999999</v>
      </c>
      <c r="D188">
        <v>2.7517999999999998</v>
      </c>
      <c r="E188">
        <f t="shared" si="16"/>
        <v>0.29835017079729631</v>
      </c>
      <c r="F188">
        <f t="shared" si="17"/>
        <v>2.8254960389563197</v>
      </c>
      <c r="G188">
        <f t="shared" si="18"/>
        <v>13.372949705647212</v>
      </c>
      <c r="H188">
        <f t="shared" si="19"/>
        <v>330.31178893814962</v>
      </c>
      <c r="I188" s="4">
        <f t="shared" si="20"/>
        <v>3.8910513624834704</v>
      </c>
      <c r="J188" s="3">
        <f t="shared" si="23"/>
        <v>3.566424</v>
      </c>
      <c r="K188" s="3">
        <f t="shared" si="21"/>
        <v>81.639600000000002</v>
      </c>
      <c r="L188" s="3">
        <f t="shared" si="22"/>
        <v>4.1856477189922625</v>
      </c>
    </row>
    <row r="189" spans="1:12">
      <c r="A189" s="2" t="s">
        <v>108</v>
      </c>
      <c r="B189">
        <v>0.95960000000000001</v>
      </c>
      <c r="C189">
        <v>10.2075</v>
      </c>
      <c r="D189">
        <v>3.0019</v>
      </c>
      <c r="E189">
        <f t="shared" si="16"/>
        <v>0.31966421266531198</v>
      </c>
      <c r="F189">
        <f t="shared" si="17"/>
        <v>3.4003464472500746</v>
      </c>
      <c r="G189">
        <f t="shared" si="18"/>
        <v>14.328309004297278</v>
      </c>
      <c r="H189">
        <f t="shared" si="19"/>
        <v>397.51410106932269</v>
      </c>
      <c r="I189" s="4">
        <f t="shared" si="20"/>
        <v>3.4790756497700137</v>
      </c>
      <c r="J189" s="3">
        <f t="shared" si="23"/>
        <v>4.1685024000000004</v>
      </c>
      <c r="K189" s="3">
        <f t="shared" si="21"/>
        <v>107.17874999999999</v>
      </c>
      <c r="L189" s="3">
        <f t="shared" si="22"/>
        <v>3.7436957896591987</v>
      </c>
    </row>
    <row r="190" spans="1:12">
      <c r="A190" s="2" t="s">
        <v>37</v>
      </c>
      <c r="B190">
        <v>1.6597999999999999</v>
      </c>
      <c r="C190">
        <v>6.9988999999999999</v>
      </c>
      <c r="D190">
        <v>2.6977000000000002</v>
      </c>
      <c r="E190">
        <f t="shared" si="16"/>
        <v>0.6152648552470622</v>
      </c>
      <c r="F190">
        <f t="shared" si="17"/>
        <v>2.5943952255625158</v>
      </c>
      <c r="G190">
        <f t="shared" si="18"/>
        <v>27.57801660673907</v>
      </c>
      <c r="H190">
        <f t="shared" si="19"/>
        <v>303.29517944916034</v>
      </c>
      <c r="I190" s="4">
        <f t="shared" si="20"/>
        <v>8.3349201251345537</v>
      </c>
      <c r="J190" s="3">
        <f t="shared" si="23"/>
        <v>7.2101712000000004</v>
      </c>
      <c r="K190" s="3">
        <f t="shared" si="21"/>
        <v>73.48845</v>
      </c>
      <c r="L190" s="3">
        <f t="shared" si="22"/>
        <v>8.9346894566272947</v>
      </c>
    </row>
    <row r="191" spans="1:12">
      <c r="A191" s="2" t="s">
        <v>109</v>
      </c>
      <c r="B191">
        <v>1.7572000000000001</v>
      </c>
      <c r="C191">
        <v>8.3093000000000004</v>
      </c>
      <c r="D191">
        <v>2.7008000000000001</v>
      </c>
      <c r="E191">
        <f t="shared" si="16"/>
        <v>0.65062203791469198</v>
      </c>
      <c r="F191">
        <f t="shared" si="17"/>
        <v>3.0766069312796209</v>
      </c>
      <c r="G191">
        <f t="shared" si="18"/>
        <v>29.16283160545024</v>
      </c>
      <c r="H191">
        <f t="shared" si="19"/>
        <v>359.66765669431277</v>
      </c>
      <c r="I191" s="4">
        <f t="shared" si="20"/>
        <v>7.5001401595256576</v>
      </c>
      <c r="J191" s="3">
        <f t="shared" si="23"/>
        <v>7.6332768000000009</v>
      </c>
      <c r="K191" s="3">
        <f t="shared" si="21"/>
        <v>87.247650000000007</v>
      </c>
      <c r="L191" s="3">
        <f t="shared" si="22"/>
        <v>8.0451119708076035</v>
      </c>
    </row>
    <row r="192" spans="1:12">
      <c r="A192" s="2" t="s">
        <v>38</v>
      </c>
      <c r="B192">
        <v>2.0815999999999999</v>
      </c>
      <c r="C192">
        <v>6.6142000000000003</v>
      </c>
      <c r="D192">
        <v>2.7669000000000001</v>
      </c>
      <c r="E192">
        <f t="shared" si="16"/>
        <v>0.75232209331743094</v>
      </c>
      <c r="F192">
        <f t="shared" si="17"/>
        <v>2.3904730926307418</v>
      </c>
      <c r="G192">
        <f t="shared" si="18"/>
        <v>33.721333188767204</v>
      </c>
      <c r="H192">
        <f t="shared" si="19"/>
        <v>279.45586642090421</v>
      </c>
      <c r="I192" s="4">
        <f t="shared" si="20"/>
        <v>10.76749304572485</v>
      </c>
      <c r="J192" s="3">
        <f t="shared" si="23"/>
        <v>9.0424704000000009</v>
      </c>
      <c r="K192" s="3">
        <f t="shared" si="21"/>
        <v>69.449100000000001</v>
      </c>
      <c r="L192" s="3">
        <f t="shared" si="22"/>
        <v>11.520307663509305</v>
      </c>
    </row>
    <row r="193" spans="1:12">
      <c r="A193" s="2" t="s">
        <v>110</v>
      </c>
      <c r="B193">
        <v>2.3755999999999999</v>
      </c>
      <c r="C193">
        <v>7.54</v>
      </c>
      <c r="D193">
        <v>2.6720999999999999</v>
      </c>
      <c r="E193">
        <f t="shared" si="16"/>
        <v>0.88903858388533363</v>
      </c>
      <c r="F193">
        <f t="shared" si="17"/>
        <v>2.8217506829834216</v>
      </c>
      <c r="G193">
        <f t="shared" si="18"/>
        <v>39.849376445492311</v>
      </c>
      <c r="H193">
        <f t="shared" si="19"/>
        <v>329.87394184349392</v>
      </c>
      <c r="I193" s="4">
        <f t="shared" si="20"/>
        <v>10.778161526275417</v>
      </c>
      <c r="J193" s="3">
        <f t="shared" si="23"/>
        <v>10.3196064</v>
      </c>
      <c r="K193" s="3">
        <f t="shared" si="21"/>
        <v>79.17</v>
      </c>
      <c r="L193" s="3">
        <f t="shared" si="22"/>
        <v>11.531625643623347</v>
      </c>
    </row>
    <row r="194" spans="1:12">
      <c r="A194" s="2" t="s">
        <v>39</v>
      </c>
      <c r="B194">
        <v>0.81330000000000002</v>
      </c>
      <c r="C194">
        <v>6.1433</v>
      </c>
      <c r="D194">
        <v>2.1791</v>
      </c>
      <c r="E194">
        <f t="shared" ref="E194:E217" si="24">B194/D194</f>
        <v>0.37322747923454636</v>
      </c>
      <c r="F194">
        <f t="shared" ref="F194:F217" si="25">C194/D194</f>
        <v>2.8191914092974164</v>
      </c>
      <c r="G194">
        <f t="shared" ref="G194:G217" si="26">E194*44.823</f>
        <v>16.72917530173007</v>
      </c>
      <c r="H194">
        <f t="shared" ref="H194:H217" si="27">F194*116.904</f>
        <v>329.57475251250514</v>
      </c>
      <c r="I194" s="4">
        <f t="shared" ref="I194:I217" si="28">G194/(G194+H194)*100</f>
        <v>4.8307783880245081</v>
      </c>
      <c r="J194" s="3">
        <f t="shared" si="23"/>
        <v>3.5329752000000005</v>
      </c>
      <c r="K194" s="3">
        <f t="shared" si="21"/>
        <v>64.504649999999998</v>
      </c>
      <c r="L194" s="3">
        <f t="shared" si="22"/>
        <v>5.1926785945491831</v>
      </c>
    </row>
    <row r="195" spans="1:12">
      <c r="A195" s="2" t="s">
        <v>177</v>
      </c>
      <c r="B195">
        <v>4.3930999999999996</v>
      </c>
      <c r="C195">
        <v>35.4024</v>
      </c>
      <c r="D195">
        <v>10.6189</v>
      </c>
      <c r="E195">
        <f t="shared" si="24"/>
        <v>0.4137057510664946</v>
      </c>
      <c r="F195">
        <f t="shared" si="25"/>
        <v>3.333904641723719</v>
      </c>
      <c r="G195">
        <f t="shared" si="26"/>
        <v>18.543532880053487</v>
      </c>
      <c r="H195">
        <f t="shared" si="27"/>
        <v>389.74678823606962</v>
      </c>
      <c r="I195" s="4">
        <f t="shared" si="28"/>
        <v>4.5417517685361597</v>
      </c>
      <c r="J195" s="3">
        <f t="shared" si="23"/>
        <v>19.0836264</v>
      </c>
      <c r="K195" s="3">
        <f t="shared" ref="K195:K217" si="29">C195*10.5</f>
        <v>371.72519999999997</v>
      </c>
      <c r="L195" s="3">
        <f t="shared" ref="L195:L217" si="30">J195/(J195+K195)*100</f>
        <v>4.8831103882151217</v>
      </c>
    </row>
    <row r="196" spans="1:12">
      <c r="A196" s="2" t="s">
        <v>40</v>
      </c>
      <c r="B196">
        <v>1.4207000000000001</v>
      </c>
      <c r="C196">
        <v>5.1776999999999997</v>
      </c>
      <c r="D196">
        <v>2.1335000000000002</v>
      </c>
      <c r="E196">
        <f t="shared" si="24"/>
        <v>0.6659011014764471</v>
      </c>
      <c r="F196">
        <f t="shared" si="25"/>
        <v>2.4268572767752516</v>
      </c>
      <c r="G196">
        <f t="shared" si="26"/>
        <v>29.847685071478789</v>
      </c>
      <c r="H196">
        <f t="shared" si="27"/>
        <v>283.70932308413398</v>
      </c>
      <c r="I196" s="4">
        <f t="shared" si="28"/>
        <v>9.5190617001505231</v>
      </c>
      <c r="J196" s="3">
        <f t="shared" ref="J196:J217" si="31">B196*4.344</f>
        <v>6.1715208000000006</v>
      </c>
      <c r="K196" s="3">
        <f t="shared" si="29"/>
        <v>54.365849999999995</v>
      </c>
      <c r="L196" s="3">
        <f t="shared" si="30"/>
        <v>10.194563652903144</v>
      </c>
    </row>
    <row r="197" spans="1:12">
      <c r="A197" s="2" t="s">
        <v>178</v>
      </c>
      <c r="B197">
        <v>8.0456000000000003</v>
      </c>
      <c r="C197">
        <v>34.073999999999998</v>
      </c>
      <c r="D197">
        <v>10.611499999999999</v>
      </c>
      <c r="E197">
        <f t="shared" si="24"/>
        <v>0.75819629647080999</v>
      </c>
      <c r="F197">
        <f t="shared" si="25"/>
        <v>3.2110446214013098</v>
      </c>
      <c r="G197">
        <f t="shared" si="26"/>
        <v>33.984632596711116</v>
      </c>
      <c r="H197">
        <f t="shared" si="27"/>
        <v>375.38396042029871</v>
      </c>
      <c r="I197" s="4">
        <f t="shared" si="28"/>
        <v>8.3017195692144874</v>
      </c>
      <c r="J197" s="3">
        <f t="shared" si="31"/>
        <v>34.950086400000004</v>
      </c>
      <c r="K197" s="3">
        <f t="shared" si="29"/>
        <v>357.77699999999999</v>
      </c>
      <c r="L197" s="3">
        <f t="shared" si="30"/>
        <v>8.8993317777940781</v>
      </c>
    </row>
    <row r="198" spans="1:12">
      <c r="A198" s="2" t="s">
        <v>41</v>
      </c>
      <c r="B198">
        <v>1.8938999999999999</v>
      </c>
      <c r="C198">
        <v>4.7807000000000004</v>
      </c>
      <c r="D198">
        <v>2.0889000000000002</v>
      </c>
      <c r="E198">
        <f t="shared" si="24"/>
        <v>0.90664943271578335</v>
      </c>
      <c r="F198">
        <f t="shared" si="25"/>
        <v>2.2886208052084829</v>
      </c>
      <c r="G198">
        <f t="shared" si="26"/>
        <v>40.63874752261956</v>
      </c>
      <c r="H198">
        <f t="shared" si="27"/>
        <v>267.54892661209249</v>
      </c>
      <c r="I198" s="4">
        <f t="shared" si="28"/>
        <v>13.186363678145005</v>
      </c>
      <c r="J198" s="3">
        <f t="shared" si="31"/>
        <v>8.227101600000001</v>
      </c>
      <c r="K198" s="3">
        <f t="shared" si="29"/>
        <v>50.197350000000007</v>
      </c>
      <c r="L198" s="3">
        <f t="shared" si="30"/>
        <v>14.081606886661815</v>
      </c>
    </row>
    <row r="199" spans="1:12">
      <c r="A199" s="2" t="s">
        <v>179</v>
      </c>
      <c r="B199">
        <v>10.751799999999999</v>
      </c>
      <c r="C199">
        <v>30.304200000000002</v>
      </c>
      <c r="D199">
        <v>10.4025</v>
      </c>
      <c r="E199">
        <f t="shared" si="24"/>
        <v>1.0335784667147321</v>
      </c>
      <c r="F199">
        <f t="shared" si="25"/>
        <v>2.9131651045421774</v>
      </c>
      <c r="G199">
        <f t="shared" si="26"/>
        <v>46.328087613554437</v>
      </c>
      <c r="H199">
        <f t="shared" si="27"/>
        <v>340.56065338139871</v>
      </c>
      <c r="I199" s="4">
        <f t="shared" si="28"/>
        <v>11.97452463837886</v>
      </c>
      <c r="J199" s="3">
        <f t="shared" si="31"/>
        <v>46.705819200000001</v>
      </c>
      <c r="K199" s="3">
        <f t="shared" si="29"/>
        <v>318.19409999999999</v>
      </c>
      <c r="L199" s="3">
        <f t="shared" si="30"/>
        <v>12.79962442918513</v>
      </c>
    </row>
    <row r="200" spans="1:12">
      <c r="A200" s="2" t="s">
        <v>42</v>
      </c>
      <c r="B200">
        <v>0.84399999999999997</v>
      </c>
      <c r="C200">
        <v>5.6845999999999997</v>
      </c>
      <c r="D200">
        <v>2.1244999999999998</v>
      </c>
      <c r="E200">
        <f t="shared" si="24"/>
        <v>0.39726994586961639</v>
      </c>
      <c r="F200">
        <f t="shared" si="25"/>
        <v>2.6757354671687454</v>
      </c>
      <c r="G200">
        <f t="shared" si="26"/>
        <v>17.806830783713817</v>
      </c>
      <c r="H200">
        <f t="shared" si="27"/>
        <v>312.80417905389498</v>
      </c>
      <c r="I200" s="4">
        <f t="shared" si="28"/>
        <v>5.3860368390212621</v>
      </c>
      <c r="J200" s="3">
        <f t="shared" si="31"/>
        <v>3.6663360000000003</v>
      </c>
      <c r="K200" s="3">
        <f t="shared" si="29"/>
        <v>59.688299999999998</v>
      </c>
      <c r="L200" s="3">
        <f t="shared" si="30"/>
        <v>5.7870050741038117</v>
      </c>
    </row>
    <row r="201" spans="1:12">
      <c r="A201" s="2" t="s">
        <v>180</v>
      </c>
      <c r="B201">
        <v>4.1462000000000003</v>
      </c>
      <c r="C201">
        <v>30.741800000000001</v>
      </c>
      <c r="D201">
        <v>9.3106000000000009</v>
      </c>
      <c r="E201">
        <f t="shared" si="24"/>
        <v>0.44532038751530512</v>
      </c>
      <c r="F201">
        <f t="shared" si="25"/>
        <v>3.3018065430799304</v>
      </c>
      <c r="G201">
        <f t="shared" si="26"/>
        <v>19.96059572959852</v>
      </c>
      <c r="H201">
        <f t="shared" si="27"/>
        <v>385.99439211221619</v>
      </c>
      <c r="I201" s="4">
        <f t="shared" si="28"/>
        <v>4.9169480182311265</v>
      </c>
      <c r="J201" s="3">
        <f t="shared" si="31"/>
        <v>18.011092800000004</v>
      </c>
      <c r="K201" s="3">
        <f t="shared" si="29"/>
        <v>322.78890000000001</v>
      </c>
      <c r="L201" s="3">
        <f t="shared" si="30"/>
        <v>5.2849451820763074</v>
      </c>
    </row>
    <row r="202" spans="1:12">
      <c r="A202" s="2" t="s">
        <v>43</v>
      </c>
      <c r="B202">
        <v>1.494</v>
      </c>
      <c r="C202">
        <v>5.1170999999999998</v>
      </c>
      <c r="D202">
        <v>2.1095999999999999</v>
      </c>
      <c r="E202">
        <f t="shared" si="24"/>
        <v>0.70819112627986347</v>
      </c>
      <c r="F202">
        <f t="shared" si="25"/>
        <v>2.4256257110352673</v>
      </c>
      <c r="G202">
        <f t="shared" si="26"/>
        <v>31.743250853242319</v>
      </c>
      <c r="H202">
        <f t="shared" si="27"/>
        <v>283.56534812286685</v>
      </c>
      <c r="I202" s="4">
        <f t="shared" si="28"/>
        <v>10.067359709288326</v>
      </c>
      <c r="J202" s="3">
        <f t="shared" si="31"/>
        <v>6.4899360000000001</v>
      </c>
      <c r="K202" s="3">
        <f t="shared" si="29"/>
        <v>53.729549999999996</v>
      </c>
      <c r="L202" s="3">
        <f t="shared" si="30"/>
        <v>10.777136158219617</v>
      </c>
    </row>
    <row r="203" spans="1:12">
      <c r="A203" s="2" t="s">
        <v>181</v>
      </c>
      <c r="B203">
        <v>8.0502000000000002</v>
      </c>
      <c r="C203">
        <v>32.406100000000002</v>
      </c>
      <c r="D203">
        <v>10.368399999999999</v>
      </c>
      <c r="E203">
        <f t="shared" si="24"/>
        <v>0.77641680490721821</v>
      </c>
      <c r="F203">
        <f t="shared" si="25"/>
        <v>3.125467767447244</v>
      </c>
      <c r="G203">
        <f t="shared" si="26"/>
        <v>34.801330446356239</v>
      </c>
      <c r="H203">
        <f t="shared" si="27"/>
        <v>365.37968388565258</v>
      </c>
      <c r="I203" s="4">
        <f t="shared" si="28"/>
        <v>8.6963971802728821</v>
      </c>
      <c r="J203" s="3">
        <f t="shared" si="31"/>
        <v>34.970068800000007</v>
      </c>
      <c r="K203" s="3">
        <f t="shared" si="29"/>
        <v>340.26405</v>
      </c>
      <c r="L203" s="3">
        <f t="shared" si="30"/>
        <v>9.3195333387684478</v>
      </c>
    </row>
    <row r="204" spans="1:12">
      <c r="A204" s="2" t="s">
        <v>44</v>
      </c>
      <c r="B204">
        <v>1.8065</v>
      </c>
      <c r="C204">
        <v>4.3868999999999998</v>
      </c>
      <c r="D204">
        <v>1.986</v>
      </c>
      <c r="E204">
        <f t="shared" si="24"/>
        <v>0.90961732124874117</v>
      </c>
      <c r="F204">
        <f t="shared" si="25"/>
        <v>2.2089123867069484</v>
      </c>
      <c r="G204">
        <f t="shared" si="26"/>
        <v>40.771777190332323</v>
      </c>
      <c r="H204">
        <f t="shared" si="27"/>
        <v>258.23069365558911</v>
      </c>
      <c r="I204" s="4">
        <f t="shared" si="28"/>
        <v>13.635933199810369</v>
      </c>
      <c r="J204" s="3">
        <f t="shared" si="31"/>
        <v>7.847436000000001</v>
      </c>
      <c r="K204" s="3">
        <f t="shared" si="29"/>
        <v>46.062449999999998</v>
      </c>
      <c r="L204" s="3">
        <f t="shared" si="30"/>
        <v>14.556580587093062</v>
      </c>
    </row>
    <row r="205" spans="1:12">
      <c r="A205" s="2" t="s">
        <v>182</v>
      </c>
      <c r="B205">
        <v>10.840400000000001</v>
      </c>
      <c r="C205">
        <v>30.618400000000001</v>
      </c>
      <c r="D205">
        <v>10.621600000000001</v>
      </c>
      <c r="E205">
        <f t="shared" si="24"/>
        <v>1.0205995330270392</v>
      </c>
      <c r="F205">
        <f t="shared" si="25"/>
        <v>2.8826542140543796</v>
      </c>
      <c r="G205">
        <f t="shared" si="26"/>
        <v>45.746332868870979</v>
      </c>
      <c r="H205">
        <f t="shared" si="27"/>
        <v>336.99380823981318</v>
      </c>
      <c r="I205" s="4">
        <f t="shared" si="28"/>
        <v>11.952321681326</v>
      </c>
      <c r="J205" s="3">
        <f t="shared" si="31"/>
        <v>47.090697600000006</v>
      </c>
      <c r="K205" s="3">
        <f t="shared" si="29"/>
        <v>321.4932</v>
      </c>
      <c r="L205" s="3">
        <f t="shared" si="30"/>
        <v>12.776113635627256</v>
      </c>
    </row>
    <row r="206" spans="1:12">
      <c r="A206" s="2" t="s">
        <v>111</v>
      </c>
      <c r="B206">
        <v>0.87260000000000004</v>
      </c>
      <c r="C206">
        <v>8.6856000000000009</v>
      </c>
      <c r="D206">
        <v>2.6472000000000002</v>
      </c>
      <c r="E206">
        <f t="shared" si="24"/>
        <v>0.32963130855243272</v>
      </c>
      <c r="F206">
        <f t="shared" si="25"/>
        <v>3.2810516772438802</v>
      </c>
      <c r="G206">
        <f t="shared" si="26"/>
        <v>14.775064143245691</v>
      </c>
      <c r="H206">
        <f t="shared" si="27"/>
        <v>383.56806527651855</v>
      </c>
      <c r="I206" s="4">
        <f t="shared" si="28"/>
        <v>3.7091299063617313</v>
      </c>
      <c r="J206" s="3">
        <f t="shared" si="31"/>
        <v>3.7905744000000006</v>
      </c>
      <c r="K206" s="3">
        <f t="shared" si="29"/>
        <v>91.198800000000006</v>
      </c>
      <c r="L206" s="3">
        <f t="shared" si="30"/>
        <v>3.9905246496707112</v>
      </c>
    </row>
    <row r="207" spans="1:12">
      <c r="A207" s="2" t="s">
        <v>183</v>
      </c>
      <c r="B207">
        <v>3.5276999999999998</v>
      </c>
      <c r="C207">
        <v>35.421300000000002</v>
      </c>
      <c r="D207">
        <v>10.4703</v>
      </c>
      <c r="E207">
        <f t="shared" si="24"/>
        <v>0.33692444342568978</v>
      </c>
      <c r="F207">
        <f t="shared" si="25"/>
        <v>3.3830262743187878</v>
      </c>
      <c r="G207">
        <f t="shared" si="26"/>
        <v>15.101964327669693</v>
      </c>
      <c r="H207">
        <f t="shared" si="27"/>
        <v>395.48930357296354</v>
      </c>
      <c r="I207" s="4">
        <f t="shared" si="28"/>
        <v>3.6781016812380196</v>
      </c>
      <c r="J207" s="3">
        <f t="shared" si="31"/>
        <v>15.3243288</v>
      </c>
      <c r="K207" s="3">
        <f t="shared" si="29"/>
        <v>371.92365000000001</v>
      </c>
      <c r="L207" s="3">
        <f t="shared" si="30"/>
        <v>3.9572391952791772</v>
      </c>
    </row>
    <row r="208" spans="1:12">
      <c r="A208" s="2" t="s">
        <v>112</v>
      </c>
      <c r="B208">
        <v>1.3631</v>
      </c>
      <c r="C208">
        <v>8.4760000000000009</v>
      </c>
      <c r="D208">
        <v>2.7663000000000002</v>
      </c>
      <c r="E208">
        <f t="shared" si="24"/>
        <v>0.4927520514767017</v>
      </c>
      <c r="F208">
        <f t="shared" si="25"/>
        <v>3.0640205328417021</v>
      </c>
      <c r="G208">
        <f t="shared" si="26"/>
        <v>22.086625203340201</v>
      </c>
      <c r="H208">
        <f t="shared" si="27"/>
        <v>358.19625637132634</v>
      </c>
      <c r="I208" s="4">
        <f t="shared" si="28"/>
        <v>5.8079462088549496</v>
      </c>
      <c r="J208" s="3">
        <f t="shared" si="31"/>
        <v>5.9213064000000006</v>
      </c>
      <c r="K208" s="3">
        <f t="shared" si="29"/>
        <v>88.998000000000005</v>
      </c>
      <c r="L208" s="3">
        <f t="shared" si="30"/>
        <v>6.2382529166900866</v>
      </c>
    </row>
    <row r="209" spans="1:12">
      <c r="A209" s="2" t="s">
        <v>184</v>
      </c>
      <c r="B209">
        <v>4.9545000000000003</v>
      </c>
      <c r="C209">
        <v>34.779899999999998</v>
      </c>
      <c r="D209">
        <v>10.509399999999999</v>
      </c>
      <c r="E209">
        <f t="shared" si="24"/>
        <v>0.47143509619959278</v>
      </c>
      <c r="F209">
        <f t="shared" si="25"/>
        <v>3.3094087198127391</v>
      </c>
      <c r="G209">
        <f t="shared" si="26"/>
        <v>21.131135316954346</v>
      </c>
      <c r="H209">
        <f t="shared" si="27"/>
        <v>386.88311698098846</v>
      </c>
      <c r="I209" s="4">
        <f t="shared" si="28"/>
        <v>5.1790189185655784</v>
      </c>
      <c r="J209" s="3">
        <f t="shared" si="31"/>
        <v>21.522348000000004</v>
      </c>
      <c r="K209" s="3">
        <f t="shared" si="29"/>
        <v>365.18894999999998</v>
      </c>
      <c r="L209" s="3">
        <f t="shared" si="30"/>
        <v>5.5654820821914557</v>
      </c>
    </row>
    <row r="210" spans="1:12">
      <c r="A210" s="2" t="s">
        <v>113</v>
      </c>
      <c r="B210">
        <v>1.4907999999999999</v>
      </c>
      <c r="C210">
        <v>7.8590999999999998</v>
      </c>
      <c r="D210">
        <v>2.6964999999999999</v>
      </c>
      <c r="E210">
        <f t="shared" si="24"/>
        <v>0.5528648247728537</v>
      </c>
      <c r="F210">
        <f t="shared" si="25"/>
        <v>2.91455590580382</v>
      </c>
      <c r="G210">
        <f t="shared" si="26"/>
        <v>24.781060040793623</v>
      </c>
      <c r="H210">
        <f t="shared" si="27"/>
        <v>340.72324361208973</v>
      </c>
      <c r="I210" s="4">
        <f t="shared" si="28"/>
        <v>6.7799639547686432</v>
      </c>
      <c r="J210" s="3">
        <f t="shared" si="31"/>
        <v>6.4760352000000001</v>
      </c>
      <c r="K210" s="3">
        <f t="shared" si="29"/>
        <v>82.52055</v>
      </c>
      <c r="L210" s="3">
        <f t="shared" si="30"/>
        <v>7.2767232421857013</v>
      </c>
    </row>
    <row r="211" spans="1:12">
      <c r="A211" s="2" t="s">
        <v>185</v>
      </c>
      <c r="B211">
        <v>5.1231999999999998</v>
      </c>
      <c r="C211">
        <v>33.524999999999999</v>
      </c>
      <c r="D211">
        <v>10.366300000000001</v>
      </c>
      <c r="E211">
        <f t="shared" si="24"/>
        <v>0.4942168372514783</v>
      </c>
      <c r="F211">
        <f t="shared" si="25"/>
        <v>3.2340372167504312</v>
      </c>
      <c r="G211">
        <f t="shared" si="26"/>
        <v>22.152281296123011</v>
      </c>
      <c r="H211">
        <f t="shared" si="27"/>
        <v>378.07188678699242</v>
      </c>
      <c r="I211" s="4">
        <f t="shared" si="28"/>
        <v>5.5349684158810213</v>
      </c>
      <c r="J211" s="3">
        <f t="shared" si="31"/>
        <v>22.255180800000002</v>
      </c>
      <c r="K211" s="3">
        <f t="shared" si="29"/>
        <v>352.01249999999999</v>
      </c>
      <c r="L211" s="3">
        <f t="shared" si="30"/>
        <v>5.9463271721537332</v>
      </c>
    </row>
    <row r="212" spans="1:12">
      <c r="A212" s="2" t="s">
        <v>114</v>
      </c>
      <c r="B212">
        <v>8.6599999999999996E-2</v>
      </c>
      <c r="C212">
        <v>8.9126999999999992</v>
      </c>
      <c r="D212">
        <v>2.5773000000000001</v>
      </c>
      <c r="E212">
        <f t="shared" si="24"/>
        <v>3.3601055368020792E-2</v>
      </c>
      <c r="F212">
        <f t="shared" si="25"/>
        <v>3.4581538819695026</v>
      </c>
      <c r="G212">
        <f t="shared" si="26"/>
        <v>1.506100104760796</v>
      </c>
      <c r="H212">
        <f t="shared" si="27"/>
        <v>404.27202141776274</v>
      </c>
      <c r="I212" s="4">
        <f t="shared" si="28"/>
        <v>0.3711634572878757</v>
      </c>
      <c r="J212" s="3">
        <f t="shared" si="31"/>
        <v>0.37619040000000004</v>
      </c>
      <c r="K212" s="3">
        <f t="shared" si="29"/>
        <v>93.583349999999996</v>
      </c>
      <c r="L212" s="3">
        <f t="shared" si="30"/>
        <v>0.40037488305977292</v>
      </c>
    </row>
    <row r="213" spans="1:12">
      <c r="A213" s="2" t="s">
        <v>186</v>
      </c>
      <c r="B213">
        <v>0.31159999999999999</v>
      </c>
      <c r="C213">
        <v>32.5777</v>
      </c>
      <c r="D213">
        <v>9.1275999999999993</v>
      </c>
      <c r="E213">
        <f t="shared" si="24"/>
        <v>3.4138218151540382E-2</v>
      </c>
      <c r="F213">
        <f t="shared" si="25"/>
        <v>3.5691419431175779</v>
      </c>
      <c r="G213">
        <f t="shared" si="26"/>
        <v>1.5301773522064945</v>
      </c>
      <c r="H213">
        <f t="shared" si="27"/>
        <v>417.24696971821731</v>
      </c>
      <c r="I213" s="4">
        <f t="shared" si="28"/>
        <v>0.36539179917312242</v>
      </c>
      <c r="J213" s="3">
        <f t="shared" si="31"/>
        <v>1.3535904000000001</v>
      </c>
      <c r="K213" s="3">
        <f t="shared" si="29"/>
        <v>342.06585000000001</v>
      </c>
      <c r="L213" s="3">
        <f t="shared" si="30"/>
        <v>0.39415077912403468</v>
      </c>
    </row>
    <row r="214" spans="1:12">
      <c r="A214" s="2" t="s">
        <v>115</v>
      </c>
      <c r="B214">
        <v>8.5900000000000004E-2</v>
      </c>
      <c r="C214">
        <v>8.7997999999999994</v>
      </c>
      <c r="D214">
        <v>2.6225999999999998</v>
      </c>
      <c r="E214">
        <f t="shared" si="24"/>
        <v>3.2753755814840239E-2</v>
      </c>
      <c r="F214">
        <f t="shared" si="25"/>
        <v>3.3553725310760316</v>
      </c>
      <c r="G214">
        <f t="shared" si="26"/>
        <v>1.4681215968885841</v>
      </c>
      <c r="H214">
        <f t="shared" si="27"/>
        <v>392.25647037291236</v>
      </c>
      <c r="I214" s="4">
        <f t="shared" si="28"/>
        <v>0.37288033992075115</v>
      </c>
      <c r="J214" s="3">
        <f t="shared" si="31"/>
        <v>0.37314960000000003</v>
      </c>
      <c r="K214" s="3">
        <f t="shared" si="29"/>
        <v>92.397899999999993</v>
      </c>
      <c r="L214" s="3">
        <f t="shared" si="30"/>
        <v>0.40222634281805092</v>
      </c>
    </row>
    <row r="215" spans="1:12">
      <c r="A215" s="2" t="s">
        <v>187</v>
      </c>
      <c r="B215">
        <v>0.3599</v>
      </c>
      <c r="C215">
        <v>36.926200000000001</v>
      </c>
      <c r="D215">
        <v>10.0549</v>
      </c>
      <c r="E215">
        <f t="shared" si="24"/>
        <v>3.5793493719480055E-2</v>
      </c>
      <c r="F215">
        <f t="shared" si="25"/>
        <v>3.6724582044575285</v>
      </c>
      <c r="G215">
        <f t="shared" si="26"/>
        <v>1.6043717689882544</v>
      </c>
      <c r="H215">
        <f t="shared" si="27"/>
        <v>429.32505393390289</v>
      </c>
      <c r="I215" s="4">
        <f t="shared" si="28"/>
        <v>0.37230499318336308</v>
      </c>
      <c r="J215" s="3">
        <f t="shared" si="31"/>
        <v>1.5634056000000001</v>
      </c>
      <c r="K215" s="3">
        <f t="shared" si="29"/>
        <v>387.7251</v>
      </c>
      <c r="L215" s="3">
        <f t="shared" si="30"/>
        <v>0.401605898327351</v>
      </c>
    </row>
    <row r="216" spans="1:12">
      <c r="A216" s="2" t="s">
        <v>116</v>
      </c>
      <c r="B216">
        <v>8.8900000000000007E-2</v>
      </c>
      <c r="C216">
        <v>8.3842999999999996</v>
      </c>
      <c r="D216">
        <v>2.5728</v>
      </c>
      <c r="E216">
        <f t="shared" si="24"/>
        <v>3.4553793532338312E-2</v>
      </c>
      <c r="F216">
        <f t="shared" si="25"/>
        <v>3.2588230721393034</v>
      </c>
      <c r="G216">
        <f t="shared" si="26"/>
        <v>1.5488046875000001</v>
      </c>
      <c r="H216">
        <f t="shared" si="27"/>
        <v>380.96945242537311</v>
      </c>
      <c r="I216" s="4">
        <f t="shared" si="28"/>
        <v>0.40489693202878424</v>
      </c>
      <c r="J216" s="3">
        <f t="shared" si="31"/>
        <v>0.38618160000000007</v>
      </c>
      <c r="K216" s="3">
        <f t="shared" si="29"/>
        <v>88.035150000000002</v>
      </c>
      <c r="L216" s="3">
        <f t="shared" si="30"/>
        <v>0.43675162204863244</v>
      </c>
    </row>
    <row r="217" spans="1:12">
      <c r="A217" s="2" t="s">
        <v>188</v>
      </c>
      <c r="B217">
        <v>0.29970000000000002</v>
      </c>
      <c r="C217">
        <v>36.2498</v>
      </c>
      <c r="D217">
        <v>10.4161</v>
      </c>
      <c r="E217">
        <f t="shared" si="24"/>
        <v>2.8772765238428973E-2</v>
      </c>
      <c r="F217">
        <f t="shared" si="25"/>
        <v>3.4801701212545963</v>
      </c>
      <c r="G217">
        <f t="shared" si="26"/>
        <v>1.2896816562821019</v>
      </c>
      <c r="H217">
        <f t="shared" si="27"/>
        <v>406.84580785514731</v>
      </c>
      <c r="I217" s="4">
        <f t="shared" si="28"/>
        <v>0.31599350936767423</v>
      </c>
      <c r="J217" s="3">
        <f t="shared" si="31"/>
        <v>1.3018968000000002</v>
      </c>
      <c r="K217" s="3">
        <f t="shared" si="29"/>
        <v>380.62290000000002</v>
      </c>
      <c r="L217" s="3">
        <f t="shared" si="30"/>
        <v>0.34087778822116011</v>
      </c>
    </row>
  </sheetData>
  <sortState xmlns:xlrd2="http://schemas.microsoft.com/office/spreadsheetml/2017/richdata2" ref="A2:I217">
    <sortCondition ref="A1:A2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671E-26EE-6F4A-8EAE-BEBE36C90F3E}">
  <dimension ref="A1:Q22"/>
  <sheetViews>
    <sheetView workbookViewId="0">
      <selection activeCell="P20" sqref="P20"/>
    </sheetView>
  </sheetViews>
  <sheetFormatPr baseColWidth="10" defaultRowHeight="16"/>
  <cols>
    <col min="1" max="1" width="21.5" customWidth="1"/>
    <col min="2" max="5" width="12.5" customWidth="1"/>
    <col min="6" max="8" width="12.33203125" customWidth="1"/>
    <col min="9" max="9" width="11.1640625" customWidth="1"/>
    <col min="10" max="11" width="16.6640625" customWidth="1"/>
    <col min="12" max="12" width="16.6640625" style="23" customWidth="1"/>
    <col min="14" max="14" width="10.83203125" style="26"/>
    <col min="15" max="15" width="20.832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249</v>
      </c>
      <c r="G1" s="1" t="s">
        <v>6</v>
      </c>
      <c r="H1" s="1" t="s">
        <v>250</v>
      </c>
      <c r="I1" s="1" t="s">
        <v>251</v>
      </c>
      <c r="J1" s="1" t="s">
        <v>252</v>
      </c>
      <c r="K1" s="1" t="s">
        <v>253</v>
      </c>
      <c r="L1" s="20" t="s">
        <v>254</v>
      </c>
      <c r="M1" s="1" t="s">
        <v>261</v>
      </c>
      <c r="N1" s="24" t="s">
        <v>262</v>
      </c>
      <c r="O1" s="1" t="s">
        <v>263</v>
      </c>
      <c r="P1" s="1" t="s">
        <v>264</v>
      </c>
      <c r="Q1" s="1"/>
    </row>
    <row r="2" spans="1:17" s="14" customFormat="1">
      <c r="A2" s="13" t="s">
        <v>255</v>
      </c>
      <c r="B2" s="14">
        <v>1.4258999999999999</v>
      </c>
      <c r="C2" s="14">
        <v>27.236899999999999</v>
      </c>
      <c r="D2" s="14">
        <v>9.0419</v>
      </c>
      <c r="E2" s="16">
        <f t="shared" ref="E2" si="0">B2/D2</f>
        <v>0.15769915615080901</v>
      </c>
      <c r="F2" s="16">
        <f t="shared" ref="F2" si="1">C2/D2</f>
        <v>3.0122983001360333</v>
      </c>
      <c r="G2" s="16">
        <f t="shared" ref="G2" si="2">E2*44.823</f>
        <v>7.0685492761477127</v>
      </c>
      <c r="H2" s="16">
        <f t="shared" ref="H2" si="3">F2*116.904</f>
        <v>352.14972047910283</v>
      </c>
      <c r="I2" s="15">
        <f t="shared" ref="I2" si="4">G2/(G2+H2)*100</f>
        <v>1.9677588450508912</v>
      </c>
      <c r="J2" s="16">
        <f t="shared" ref="J2" si="5">B2*18.681</f>
        <v>26.637237899999999</v>
      </c>
      <c r="K2" s="16">
        <f t="shared" ref="K2" si="6">C2*10.501</f>
        <v>286.01468689999996</v>
      </c>
      <c r="L2" s="21">
        <f t="shared" ref="L2" si="7">J2/(J2+K2)*100</f>
        <v>8.5197741600470085</v>
      </c>
      <c r="M2" s="19">
        <f>B2/C2*100</f>
        <v>5.2351772778840466</v>
      </c>
      <c r="N2" s="25">
        <f>B2/(B2+C2)*100</f>
        <v>4.9747407789887941</v>
      </c>
      <c r="O2" s="16">
        <f>B2*3.956</f>
        <v>5.6408603999999993</v>
      </c>
      <c r="P2" s="15">
        <f>O2/(O2+K2)*100</f>
        <v>1.9340830140966774</v>
      </c>
    </row>
    <row r="3" spans="1:17">
      <c r="A3" s="2" t="s">
        <v>33</v>
      </c>
      <c r="B3">
        <v>0.64510000000000001</v>
      </c>
      <c r="C3">
        <v>12.2121</v>
      </c>
      <c r="D3">
        <v>4.2733999999999996</v>
      </c>
      <c r="E3" s="3">
        <f t="shared" ref="E3:E12" si="8">B3/D3</f>
        <v>0.15095708335283381</v>
      </c>
      <c r="F3" s="3">
        <f t="shared" ref="F3:F12" si="9">C3/D3</f>
        <v>2.8577011279075211</v>
      </c>
      <c r="G3" s="3">
        <f t="shared" ref="G3:G12" si="10">E3*44.823</f>
        <v>6.7663493471240699</v>
      </c>
      <c r="H3" s="3">
        <f t="shared" ref="H3:H10" si="11">F3*116.904</f>
        <v>334.07669265690083</v>
      </c>
      <c r="I3" s="4">
        <f t="shared" ref="I3:I12" si="12">G3/(G3+H3)*100</f>
        <v>1.9851804242036337</v>
      </c>
      <c r="J3" s="3">
        <f t="shared" ref="J3:J12" si="13">B3*18.681</f>
        <v>12.0511131</v>
      </c>
      <c r="K3" s="3">
        <f t="shared" ref="K3:K12" si="14">C3*10.501</f>
        <v>128.23926209999999</v>
      </c>
      <c r="L3" s="22">
        <f t="shared" ref="L3:L12" si="15">J3/(J3+K3)*100</f>
        <v>8.5901210847998364</v>
      </c>
      <c r="M3" s="17">
        <f t="shared" ref="M3:M20" si="16">B3/C3*100</f>
        <v>5.2824657511812054</v>
      </c>
      <c r="N3" s="27">
        <f t="shared" ref="N3:N20" si="17">B3/(B3+C3)*100</f>
        <v>5.0174221447904683</v>
      </c>
      <c r="O3" s="16">
        <f t="shared" ref="O3:O20" si="18">B3*3.956</f>
        <v>2.5520155999999998</v>
      </c>
      <c r="P3" s="5">
        <f t="shared" ref="P3:P20" si="19">O3/(O3+K3)*100</f>
        <v>1.9512123781324602</v>
      </c>
    </row>
    <row r="4" spans="1:17">
      <c r="A4" s="11" t="s">
        <v>105</v>
      </c>
      <c r="B4" s="12">
        <v>0.47760000000000002</v>
      </c>
      <c r="C4" s="12">
        <v>6.8456000000000001</v>
      </c>
      <c r="D4" s="12">
        <v>2.0207000000000002</v>
      </c>
      <c r="E4" s="3">
        <f t="shared" si="8"/>
        <v>0.23635373880338495</v>
      </c>
      <c r="F4" s="3">
        <f t="shared" si="9"/>
        <v>3.3877369228485175</v>
      </c>
      <c r="G4" s="3">
        <f t="shared" si="10"/>
        <v>10.594083634384123</v>
      </c>
      <c r="H4" s="3">
        <f t="shared" si="11"/>
        <v>396.03999722868309</v>
      </c>
      <c r="I4" s="4">
        <f t="shared" si="12"/>
        <v>2.6053112940997312</v>
      </c>
      <c r="J4" s="3">
        <f t="shared" si="13"/>
        <v>8.9220456000000006</v>
      </c>
      <c r="K4" s="3">
        <f t="shared" si="14"/>
        <v>71.885645600000004</v>
      </c>
      <c r="L4" s="22">
        <f t="shared" si="15"/>
        <v>11.041084663485597</v>
      </c>
      <c r="M4" s="17">
        <f t="shared" si="16"/>
        <v>6.9767441860465116</v>
      </c>
      <c r="N4" s="27">
        <f t="shared" si="17"/>
        <v>6.5217391304347823</v>
      </c>
      <c r="O4" s="16">
        <f t="shared" si="18"/>
        <v>1.8893856</v>
      </c>
      <c r="P4" s="5">
        <f t="shared" si="19"/>
        <v>2.5610095573907397</v>
      </c>
    </row>
    <row r="5" spans="1:17" s="14" customFormat="1">
      <c r="A5" s="13" t="s">
        <v>256</v>
      </c>
      <c r="B5" s="14">
        <v>4.1703000000000001</v>
      </c>
      <c r="C5" s="14">
        <v>23.719799999999999</v>
      </c>
      <c r="D5" s="14">
        <v>4.2012999999999998</v>
      </c>
      <c r="E5" s="16">
        <f t="shared" ref="E5" si="20">B5/D5</f>
        <v>0.99262133149263332</v>
      </c>
      <c r="F5" s="16">
        <f t="shared" ref="F5" si="21">C5/D5</f>
        <v>5.6458239116463949</v>
      </c>
      <c r="G5" s="16">
        <f t="shared" ref="G5" si="22">E5*44.823</f>
        <v>44.492265941494303</v>
      </c>
      <c r="H5" s="16">
        <f t="shared" ref="H5" si="23">F5*116.904</f>
        <v>660.0193985671101</v>
      </c>
      <c r="I5" s="15">
        <f t="shared" ref="I5" si="24">G5/(G5+H5)*100</f>
        <v>6.3153341786792954</v>
      </c>
      <c r="J5" s="16">
        <f t="shared" ref="J5" si="25">B5*18.681</f>
        <v>77.905374300000005</v>
      </c>
      <c r="K5" s="16">
        <f t="shared" ref="K5" si="26">C5*10.501</f>
        <v>249.08161979999997</v>
      </c>
      <c r="L5" s="21">
        <f t="shared" ref="L5" si="27">J5/(J5+K5)*100</f>
        <v>23.825221096156135</v>
      </c>
      <c r="M5" s="19">
        <f t="shared" si="16"/>
        <v>17.581514178028485</v>
      </c>
      <c r="N5" s="25">
        <f t="shared" si="17"/>
        <v>14.952617595490874</v>
      </c>
      <c r="O5" s="16">
        <f t="shared" si="18"/>
        <v>16.4977068</v>
      </c>
      <c r="P5" s="15">
        <f t="shared" si="19"/>
        <v>6.2119695125396115</v>
      </c>
    </row>
    <row r="6" spans="1:17">
      <c r="A6" s="2" t="s">
        <v>34</v>
      </c>
      <c r="B6">
        <v>1.3734999999999999</v>
      </c>
      <c r="C6">
        <v>7.8699000000000003</v>
      </c>
      <c r="D6">
        <v>2.9771000000000001</v>
      </c>
      <c r="E6" s="3">
        <f t="shared" si="8"/>
        <v>0.46135500990897177</v>
      </c>
      <c r="F6" s="3">
        <f t="shared" si="9"/>
        <v>2.6434785529542171</v>
      </c>
      <c r="G6" s="3">
        <f t="shared" si="10"/>
        <v>20.679315609149842</v>
      </c>
      <c r="H6" s="3">
        <f t="shared" si="11"/>
        <v>309.03321675455976</v>
      </c>
      <c r="I6" s="4">
        <f t="shared" si="12"/>
        <v>6.2719228355985743</v>
      </c>
      <c r="J6" s="3">
        <f t="shared" si="13"/>
        <v>25.6583535</v>
      </c>
      <c r="K6" s="3">
        <f t="shared" si="14"/>
        <v>82.641819900000002</v>
      </c>
      <c r="L6" s="22">
        <f t="shared" si="15"/>
        <v>23.69188588944586</v>
      </c>
      <c r="M6" s="17">
        <f t="shared" si="16"/>
        <v>17.452572459624644</v>
      </c>
      <c r="N6" s="27">
        <f t="shared" si="17"/>
        <v>14.859250924984311</v>
      </c>
      <c r="O6" s="16">
        <f t="shared" si="18"/>
        <v>5.4335659999999999</v>
      </c>
      <c r="P6" s="5">
        <f t="shared" si="19"/>
        <v>6.1692219051634041</v>
      </c>
    </row>
    <row r="7" spans="1:17">
      <c r="A7" s="2" t="s">
        <v>106</v>
      </c>
      <c r="B7">
        <v>1.4751000000000001</v>
      </c>
      <c r="C7">
        <v>9.0276999999999994</v>
      </c>
      <c r="D7">
        <v>2.8521999999999998</v>
      </c>
      <c r="E7" s="3">
        <f t="shared" si="8"/>
        <v>0.51717972091718678</v>
      </c>
      <c r="F7" s="3">
        <f t="shared" si="9"/>
        <v>3.1651707453895237</v>
      </c>
      <c r="G7" s="3">
        <f t="shared" si="10"/>
        <v>23.181546630671065</v>
      </c>
      <c r="H7" s="3">
        <f t="shared" si="11"/>
        <v>370.02112081901686</v>
      </c>
      <c r="I7" s="4">
        <f t="shared" si="12"/>
        <v>5.8955720674599057</v>
      </c>
      <c r="J7" s="3">
        <f t="shared" si="13"/>
        <v>27.556343100000003</v>
      </c>
      <c r="K7" s="3">
        <f t="shared" si="14"/>
        <v>94.799877699999982</v>
      </c>
      <c r="L7" s="22">
        <f t="shared" si="15"/>
        <v>22.521407509833782</v>
      </c>
      <c r="M7" s="17">
        <f t="shared" si="16"/>
        <v>16.339710003655419</v>
      </c>
      <c r="N7" s="27">
        <f t="shared" si="17"/>
        <v>14.044826141600335</v>
      </c>
      <c r="O7" s="16">
        <f t="shared" si="18"/>
        <v>5.8354956000000007</v>
      </c>
      <c r="P7" s="5">
        <f t="shared" si="19"/>
        <v>5.7986525101904718</v>
      </c>
    </row>
    <row r="8" spans="1:17" s="14" customFormat="1">
      <c r="A8" s="13" t="s">
        <v>257</v>
      </c>
      <c r="B8" s="14">
        <v>6.5373999999999999</v>
      </c>
      <c r="C8" s="14">
        <v>22.6722</v>
      </c>
      <c r="D8" s="14">
        <v>5.1112000000000002</v>
      </c>
      <c r="E8" s="16">
        <f t="shared" ref="E8" si="28">B8/D8</f>
        <v>1.2790342776647361</v>
      </c>
      <c r="F8" s="16">
        <f t="shared" ref="F8" si="29">C8/D8</f>
        <v>4.4357880732509001</v>
      </c>
      <c r="G8" s="16">
        <f t="shared" ref="G8" si="30">E8*44.823</f>
        <v>57.330153427766469</v>
      </c>
      <c r="H8" s="16">
        <f>F8*116.904</f>
        <v>518.56136891532321</v>
      </c>
      <c r="I8" s="15">
        <f t="shared" ref="I8" si="31">G8/(G8+H8)*100</f>
        <v>9.9550264595858717</v>
      </c>
      <c r="J8" s="16">
        <f t="shared" ref="J8" si="32">B8*18.681</f>
        <v>122.1251694</v>
      </c>
      <c r="K8" s="16">
        <f t="shared" ref="K8" si="33">C8*10.501</f>
        <v>238.08077219999998</v>
      </c>
      <c r="L8" s="21">
        <f t="shared" ref="L8" si="34">J8/(J8+K8)*100</f>
        <v>33.904262894035512</v>
      </c>
      <c r="M8" s="19">
        <f t="shared" si="16"/>
        <v>28.83443159464013</v>
      </c>
      <c r="N8" s="25">
        <f t="shared" si="17"/>
        <v>22.380998028045575</v>
      </c>
      <c r="O8" s="16">
        <f t="shared" si="18"/>
        <v>25.861954399999998</v>
      </c>
      <c r="P8" s="15">
        <f t="shared" si="19"/>
        <v>9.7983205421656816</v>
      </c>
    </row>
    <row r="9" spans="1:17">
      <c r="A9" s="2" t="s">
        <v>35</v>
      </c>
      <c r="B9">
        <v>2.0078999999999998</v>
      </c>
      <c r="C9">
        <v>7.0076999999999998</v>
      </c>
      <c r="D9">
        <v>2.8308</v>
      </c>
      <c r="E9" s="3">
        <f t="shared" si="8"/>
        <v>0.70930479016532422</v>
      </c>
      <c r="F9" s="3">
        <f t="shared" si="9"/>
        <v>2.4755192878338277</v>
      </c>
      <c r="G9" s="3">
        <f t="shared" si="10"/>
        <v>31.793168609580327</v>
      </c>
      <c r="H9" s="3">
        <f t="shared" si="11"/>
        <v>289.39810682492578</v>
      </c>
      <c r="I9" s="4">
        <f t="shared" si="12"/>
        <v>9.8985156326462089</v>
      </c>
      <c r="J9" s="3">
        <f t="shared" si="13"/>
        <v>37.509579899999999</v>
      </c>
      <c r="K9" s="3">
        <f t="shared" si="14"/>
        <v>73.587857700000001</v>
      </c>
      <c r="L9" s="22">
        <f t="shared" si="15"/>
        <v>33.762776811334845</v>
      </c>
      <c r="M9" s="17">
        <f t="shared" si="16"/>
        <v>28.652767669848878</v>
      </c>
      <c r="N9" s="27">
        <f t="shared" si="17"/>
        <v>22.271396246506058</v>
      </c>
      <c r="O9" s="16">
        <f t="shared" si="18"/>
        <v>7.9432523999999995</v>
      </c>
      <c r="P9" s="5">
        <f t="shared" si="19"/>
        <v>9.7426030263262646</v>
      </c>
    </row>
    <row r="10" spans="1:17">
      <c r="A10" s="2" t="s">
        <v>107</v>
      </c>
      <c r="B10">
        <v>2.1751</v>
      </c>
      <c r="C10">
        <v>8.2364999999999995</v>
      </c>
      <c r="D10">
        <v>2.7664</v>
      </c>
      <c r="E10" s="3">
        <f t="shared" si="8"/>
        <v>0.78625650665124347</v>
      </c>
      <c r="F10" s="3">
        <f t="shared" si="9"/>
        <v>2.9773351648351647</v>
      </c>
      <c r="G10" s="3">
        <f t="shared" si="10"/>
        <v>35.242375397628685</v>
      </c>
      <c r="H10" s="3">
        <f t="shared" si="11"/>
        <v>348.06239010989009</v>
      </c>
      <c r="I10" s="4">
        <f t="shared" si="12"/>
        <v>9.194348353839441</v>
      </c>
      <c r="J10" s="3">
        <f t="shared" si="13"/>
        <v>40.633043100000002</v>
      </c>
      <c r="K10" s="3">
        <f t="shared" si="14"/>
        <v>86.491486499999993</v>
      </c>
      <c r="L10" s="22">
        <f t="shared" si="15"/>
        <v>31.963180692076286</v>
      </c>
      <c r="M10" s="17">
        <f t="shared" si="16"/>
        <v>26.408061676683058</v>
      </c>
      <c r="N10" s="27">
        <f t="shared" si="17"/>
        <v>20.891121441469132</v>
      </c>
      <c r="O10" s="16">
        <f t="shared" si="18"/>
        <v>8.6046955999999994</v>
      </c>
      <c r="P10" s="5">
        <f t="shared" si="19"/>
        <v>9.0484133116422978</v>
      </c>
    </row>
    <row r="11" spans="1:17">
      <c r="A11" s="2"/>
      <c r="E11" s="3"/>
      <c r="F11" s="3"/>
      <c r="G11" s="3"/>
      <c r="H11" s="3"/>
      <c r="I11" s="4"/>
      <c r="J11" s="3"/>
      <c r="K11" s="3"/>
      <c r="L11" s="22"/>
      <c r="M11" s="17"/>
      <c r="N11" s="25"/>
      <c r="O11" s="16">
        <f t="shared" si="18"/>
        <v>0</v>
      </c>
      <c r="P11" s="15"/>
    </row>
    <row r="12" spans="1:17">
      <c r="A12" s="13" t="s">
        <v>258</v>
      </c>
      <c r="B12" s="14">
        <v>3.7298</v>
      </c>
      <c r="C12" s="14">
        <v>25.5198</v>
      </c>
      <c r="D12" s="14">
        <v>9.0772999999999993</v>
      </c>
      <c r="E12" s="16">
        <f t="shared" si="8"/>
        <v>0.41089310698115084</v>
      </c>
      <c r="F12" s="16">
        <f t="shared" si="9"/>
        <v>2.811386645808776</v>
      </c>
      <c r="G12" s="16">
        <f t="shared" si="10"/>
        <v>18.417461734216126</v>
      </c>
      <c r="H12" s="16">
        <f>F12*116.904</f>
        <v>328.66234444162916</v>
      </c>
      <c r="I12" s="15">
        <f t="shared" si="12"/>
        <v>5.306405445232115</v>
      </c>
      <c r="J12" s="16">
        <f t="shared" si="13"/>
        <v>69.6763938</v>
      </c>
      <c r="K12" s="16">
        <f t="shared" si="14"/>
        <v>267.98341979999998</v>
      </c>
      <c r="L12" s="21">
        <f t="shared" si="15"/>
        <v>20.635086259492031</v>
      </c>
      <c r="M12" s="19">
        <f t="shared" si="16"/>
        <v>14.615318301867569</v>
      </c>
      <c r="N12" s="25">
        <f t="shared" si="17"/>
        <v>12.75162737268202</v>
      </c>
      <c r="O12" s="16">
        <f t="shared" si="18"/>
        <v>14.755088799999999</v>
      </c>
      <c r="P12" s="15">
        <f t="shared" si="19"/>
        <v>5.2186343038523049</v>
      </c>
    </row>
    <row r="13" spans="1:17">
      <c r="A13" s="2" t="s">
        <v>42</v>
      </c>
      <c r="B13">
        <v>0.84399999999999997</v>
      </c>
      <c r="C13">
        <v>5.6845999999999997</v>
      </c>
      <c r="D13">
        <v>2.1244999999999998</v>
      </c>
      <c r="E13" s="3">
        <f t="shared" ref="E13:E20" si="35">B13/D13</f>
        <v>0.39726994586961639</v>
      </c>
      <c r="F13" s="3">
        <f t="shared" ref="F13:F20" si="36">C13/D13</f>
        <v>2.6757354671687454</v>
      </c>
      <c r="G13" s="3">
        <f t="shared" ref="G13:G20" si="37">E13*44.823</f>
        <v>17.806830783713817</v>
      </c>
      <c r="H13" s="3">
        <f t="shared" ref="H13:H20" si="38">F13*116.904</f>
        <v>312.80417905389498</v>
      </c>
      <c r="I13" s="4">
        <f t="shared" ref="I13:I20" si="39">G13/(G13+H13)*100</f>
        <v>5.3860368390212621</v>
      </c>
      <c r="J13" s="3">
        <f t="shared" ref="J13:J20" si="40">B13*18.681</f>
        <v>15.766764</v>
      </c>
      <c r="K13" s="3">
        <f t="shared" ref="K13:K20" si="41">C13*10.501</f>
        <v>59.693984599999993</v>
      </c>
      <c r="L13" s="22">
        <f t="shared" ref="L13:L20" si="42">J13/(J13+K13)*100</f>
        <v>20.893993622533454</v>
      </c>
      <c r="M13" s="17">
        <f t="shared" si="16"/>
        <v>14.847130844738416</v>
      </c>
      <c r="N13" s="27">
        <f t="shared" si="17"/>
        <v>12.927733357840884</v>
      </c>
      <c r="O13" s="16">
        <f t="shared" si="18"/>
        <v>3.3388640000000001</v>
      </c>
      <c r="P13" s="5">
        <f t="shared" si="19"/>
        <v>5.297022225963623</v>
      </c>
    </row>
    <row r="14" spans="1:17">
      <c r="A14" s="2" t="s">
        <v>180</v>
      </c>
      <c r="B14">
        <v>4.1462000000000003</v>
      </c>
      <c r="C14">
        <v>30.741800000000001</v>
      </c>
      <c r="D14">
        <v>9.3106000000000009</v>
      </c>
      <c r="E14" s="3">
        <f t="shared" si="35"/>
        <v>0.44532038751530512</v>
      </c>
      <c r="F14" s="3">
        <f t="shared" si="36"/>
        <v>3.3018065430799304</v>
      </c>
      <c r="G14" s="3">
        <f t="shared" si="37"/>
        <v>19.96059572959852</v>
      </c>
      <c r="H14" s="3">
        <f t="shared" si="38"/>
        <v>385.99439211221619</v>
      </c>
      <c r="I14" s="4">
        <f t="shared" si="39"/>
        <v>4.9169480182311265</v>
      </c>
      <c r="J14" s="3">
        <f t="shared" si="40"/>
        <v>77.455162200000004</v>
      </c>
      <c r="K14" s="3">
        <f t="shared" si="41"/>
        <v>322.8196418</v>
      </c>
      <c r="L14" s="22">
        <f t="shared" si="42"/>
        <v>19.350496565354636</v>
      </c>
      <c r="M14" s="17">
        <f t="shared" si="16"/>
        <v>13.48717381545648</v>
      </c>
      <c r="N14" s="27">
        <f t="shared" si="17"/>
        <v>11.884315523962394</v>
      </c>
      <c r="O14" s="16">
        <f t="shared" si="18"/>
        <v>16.4023672</v>
      </c>
      <c r="P14" s="5">
        <f t="shared" si="19"/>
        <v>4.8352897998431459</v>
      </c>
    </row>
    <row r="15" spans="1:17">
      <c r="A15" s="13" t="s">
        <v>259</v>
      </c>
      <c r="B15" s="14">
        <v>6.1546000000000003</v>
      </c>
      <c r="C15" s="14">
        <v>19.7821</v>
      </c>
      <c r="D15" s="14">
        <v>3.0599999999999999E-2</v>
      </c>
      <c r="E15" s="16">
        <f t="shared" si="35"/>
        <v>201.13071895424838</v>
      </c>
      <c r="F15" s="16">
        <f t="shared" si="36"/>
        <v>646.47385620915031</v>
      </c>
      <c r="G15" s="16">
        <f t="shared" si="37"/>
        <v>9015.2822156862749</v>
      </c>
      <c r="H15" s="16">
        <f>F15*116.904</f>
        <v>75575.379686274508</v>
      </c>
      <c r="I15" s="15">
        <f t="shared" si="39"/>
        <v>10.657538329862984</v>
      </c>
      <c r="J15" s="16">
        <f t="shared" si="40"/>
        <v>114.97408260000002</v>
      </c>
      <c r="K15" s="16">
        <f t="shared" si="41"/>
        <v>207.73183209999999</v>
      </c>
      <c r="L15" s="21">
        <f t="shared" si="42"/>
        <v>35.62812993585333</v>
      </c>
      <c r="M15" s="19">
        <f t="shared" si="16"/>
        <v>31.111964857118306</v>
      </c>
      <c r="N15" s="25">
        <f t="shared" si="17"/>
        <v>23.729310205230426</v>
      </c>
      <c r="O15" s="16">
        <f t="shared" si="18"/>
        <v>24.3475976</v>
      </c>
      <c r="P15" s="15">
        <f>O15/(O15+K15)*100</f>
        <v>10.491062319255605</v>
      </c>
    </row>
    <row r="16" spans="1:17">
      <c r="A16" s="2" t="s">
        <v>43</v>
      </c>
      <c r="B16">
        <v>1.494</v>
      </c>
      <c r="C16">
        <v>5.1170999999999998</v>
      </c>
      <c r="D16">
        <v>2.1095999999999999</v>
      </c>
      <c r="E16" s="3">
        <f t="shared" si="35"/>
        <v>0.70819112627986347</v>
      </c>
      <c r="F16" s="3">
        <f t="shared" si="36"/>
        <v>2.4256257110352673</v>
      </c>
      <c r="G16" s="3">
        <f t="shared" si="37"/>
        <v>31.743250853242319</v>
      </c>
      <c r="H16" s="3">
        <f t="shared" si="38"/>
        <v>283.56534812286685</v>
      </c>
      <c r="I16" s="4">
        <f t="shared" si="39"/>
        <v>10.067359709288326</v>
      </c>
      <c r="J16" s="3">
        <f t="shared" si="40"/>
        <v>27.909414000000002</v>
      </c>
      <c r="K16" s="3">
        <f t="shared" si="41"/>
        <v>53.734667099999996</v>
      </c>
      <c r="L16" s="22">
        <f t="shared" si="42"/>
        <v>34.184246578531216</v>
      </c>
      <c r="M16" s="17">
        <f t="shared" si="16"/>
        <v>29.196224423990152</v>
      </c>
      <c r="N16" s="27">
        <f t="shared" si="17"/>
        <v>22.598357308163543</v>
      </c>
      <c r="O16" s="16">
        <f t="shared" si="18"/>
        <v>5.9102639999999997</v>
      </c>
      <c r="P16" s="5">
        <f t="shared" si="19"/>
        <v>9.909080102868959</v>
      </c>
    </row>
    <row r="17" spans="1:16">
      <c r="A17" s="2" t="s">
        <v>181</v>
      </c>
      <c r="B17">
        <v>8.0502000000000002</v>
      </c>
      <c r="C17">
        <v>32.406100000000002</v>
      </c>
      <c r="D17">
        <v>10.368399999999999</v>
      </c>
      <c r="E17" s="3">
        <f t="shared" si="35"/>
        <v>0.77641680490721821</v>
      </c>
      <c r="F17" s="3">
        <f t="shared" si="36"/>
        <v>3.125467767447244</v>
      </c>
      <c r="G17" s="3">
        <f t="shared" si="37"/>
        <v>34.801330446356239</v>
      </c>
      <c r="H17" s="3">
        <f t="shared" si="38"/>
        <v>365.37968388565258</v>
      </c>
      <c r="I17" s="4">
        <f t="shared" si="39"/>
        <v>8.6963971802728821</v>
      </c>
      <c r="J17" s="3">
        <f t="shared" si="40"/>
        <v>150.38578620000001</v>
      </c>
      <c r="K17" s="3">
        <f t="shared" si="41"/>
        <v>340.2964561</v>
      </c>
      <c r="L17" s="22">
        <f t="shared" si="42"/>
        <v>30.648304184616304</v>
      </c>
      <c r="M17" s="17">
        <f t="shared" si="16"/>
        <v>24.84161932475676</v>
      </c>
      <c r="N17" s="27">
        <f t="shared" si="17"/>
        <v>19.898507772584246</v>
      </c>
      <c r="O17" s="16">
        <f t="shared" si="18"/>
        <v>31.846591199999999</v>
      </c>
      <c r="P17" s="5">
        <f t="shared" si="19"/>
        <v>8.5576209017085674</v>
      </c>
    </row>
    <row r="18" spans="1:16">
      <c r="A18" s="13" t="s">
        <v>260</v>
      </c>
      <c r="B18" s="14">
        <v>7.6902999999999997</v>
      </c>
      <c r="C18" s="14">
        <v>18.9039</v>
      </c>
      <c r="D18" s="14">
        <v>8.1872000000000007</v>
      </c>
      <c r="E18" s="16">
        <f t="shared" si="35"/>
        <v>0.93930769982411555</v>
      </c>
      <c r="F18" s="16">
        <f t="shared" si="36"/>
        <v>2.308957885479773</v>
      </c>
      <c r="G18" s="16">
        <f t="shared" si="37"/>
        <v>42.102589029216333</v>
      </c>
      <c r="H18" s="16">
        <f>F18*116.904</f>
        <v>269.92641264412737</v>
      </c>
      <c r="I18" s="15">
        <f t="shared" si="39"/>
        <v>13.493165315861441</v>
      </c>
      <c r="J18" s="16">
        <f t="shared" si="40"/>
        <v>143.66249429999999</v>
      </c>
      <c r="K18" s="16">
        <f t="shared" si="41"/>
        <v>198.5098539</v>
      </c>
      <c r="L18" s="21">
        <f t="shared" si="42"/>
        <v>41.985419060230186</v>
      </c>
      <c r="M18" s="19">
        <f t="shared" si="16"/>
        <v>40.681023492506831</v>
      </c>
      <c r="N18" s="25">
        <f t="shared" si="17"/>
        <v>28.917207511412261</v>
      </c>
      <c r="O18" s="16">
        <f t="shared" si="18"/>
        <v>30.422826799999999</v>
      </c>
      <c r="P18" s="15">
        <f t="shared" si="19"/>
        <v>13.288983777666481</v>
      </c>
    </row>
    <row r="19" spans="1:16">
      <c r="A19" s="2" t="s">
        <v>44</v>
      </c>
      <c r="B19">
        <v>1.8065</v>
      </c>
      <c r="C19">
        <v>4.3868999999999998</v>
      </c>
      <c r="D19">
        <v>1.986</v>
      </c>
      <c r="E19" s="3">
        <f t="shared" si="35"/>
        <v>0.90961732124874117</v>
      </c>
      <c r="F19" s="3">
        <f t="shared" si="36"/>
        <v>2.2089123867069484</v>
      </c>
      <c r="G19" s="3">
        <f t="shared" si="37"/>
        <v>40.771777190332323</v>
      </c>
      <c r="H19" s="3">
        <f t="shared" si="38"/>
        <v>258.23069365558911</v>
      </c>
      <c r="I19" s="4">
        <f t="shared" si="39"/>
        <v>13.635933199810369</v>
      </c>
      <c r="J19" s="3">
        <f t="shared" si="40"/>
        <v>33.747226500000004</v>
      </c>
      <c r="K19" s="3">
        <f t="shared" si="41"/>
        <v>46.066836899999998</v>
      </c>
      <c r="L19" s="22">
        <f t="shared" si="42"/>
        <v>42.282305977670596</v>
      </c>
      <c r="M19" s="17">
        <f t="shared" si="16"/>
        <v>41.179420547539266</v>
      </c>
      <c r="N19" s="27">
        <f t="shared" si="17"/>
        <v>29.168146736848904</v>
      </c>
      <c r="O19" s="16">
        <f t="shared" si="18"/>
        <v>7.1465139999999998</v>
      </c>
      <c r="P19" s="5">
        <f t="shared" si="19"/>
        <v>13.429926661506297</v>
      </c>
    </row>
    <row r="20" spans="1:16">
      <c r="A20" s="2" t="s">
        <v>182</v>
      </c>
      <c r="B20">
        <v>10.840400000000001</v>
      </c>
      <c r="C20">
        <v>30.618400000000001</v>
      </c>
      <c r="D20">
        <v>10.621600000000001</v>
      </c>
      <c r="E20" s="3">
        <f t="shared" si="35"/>
        <v>1.0205995330270392</v>
      </c>
      <c r="F20" s="3">
        <f t="shared" si="36"/>
        <v>2.8826542140543796</v>
      </c>
      <c r="G20" s="3">
        <f t="shared" si="37"/>
        <v>45.746332868870979</v>
      </c>
      <c r="H20" s="3">
        <f t="shared" si="38"/>
        <v>336.99380823981318</v>
      </c>
      <c r="I20" s="4">
        <f t="shared" si="39"/>
        <v>11.952321681326</v>
      </c>
      <c r="J20" s="3">
        <f t="shared" si="40"/>
        <v>202.50951240000003</v>
      </c>
      <c r="K20" s="3">
        <f t="shared" si="41"/>
        <v>321.52381839999998</v>
      </c>
      <c r="L20" s="22">
        <f t="shared" si="42"/>
        <v>38.644395403407806</v>
      </c>
      <c r="M20" s="17">
        <f t="shared" si="16"/>
        <v>35.404854597235655</v>
      </c>
      <c r="N20" s="27">
        <f t="shared" si="17"/>
        <v>26.147404169922911</v>
      </c>
      <c r="O20" s="16">
        <f t="shared" si="18"/>
        <v>42.884622400000005</v>
      </c>
      <c r="P20" s="5">
        <f t="shared" si="19"/>
        <v>11.768284594575725</v>
      </c>
    </row>
    <row r="21" spans="1:16">
      <c r="M21" s="18"/>
    </row>
    <row r="22" spans="1:16">
      <c r="M22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FE95-5D2A-0F49-A4FA-693C5E74606E}">
  <dimension ref="A1:E325"/>
  <sheetViews>
    <sheetView tabSelected="1" workbookViewId="0">
      <selection activeCell="A254" sqref="A254:C325"/>
    </sheetView>
  </sheetViews>
  <sheetFormatPr baseColWidth="10" defaultRowHeight="16"/>
  <cols>
    <col min="1" max="1" width="16.33203125" customWidth="1"/>
    <col min="3" max="3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6</v>
      </c>
      <c r="E1" s="1" t="s">
        <v>250</v>
      </c>
    </row>
    <row r="2" spans="1:5">
      <c r="A2" s="2" t="s">
        <v>33</v>
      </c>
      <c r="B2">
        <v>0.64510000000000001</v>
      </c>
      <c r="C2">
        <v>12.2121</v>
      </c>
      <c r="D2">
        <f>B2*3.108</f>
        <v>2.0049708000000002</v>
      </c>
      <c r="E2">
        <f>C2*10.5</f>
        <v>128.22704999999999</v>
      </c>
    </row>
    <row r="3" spans="1:5">
      <c r="A3" s="2" t="s">
        <v>34</v>
      </c>
      <c r="B3">
        <v>1.3734999999999999</v>
      </c>
      <c r="C3">
        <v>7.8699000000000003</v>
      </c>
      <c r="D3">
        <f t="shared" ref="D3:D66" si="0">B3*3.108</f>
        <v>4.2688379999999997</v>
      </c>
      <c r="E3">
        <f t="shared" ref="E3:E66" si="1">C3*10.5</f>
        <v>82.633949999999999</v>
      </c>
    </row>
    <row r="4" spans="1:5">
      <c r="A4" s="2" t="s">
        <v>35</v>
      </c>
      <c r="B4">
        <v>2.0078999999999998</v>
      </c>
      <c r="C4">
        <v>7.0076999999999998</v>
      </c>
      <c r="D4">
        <f t="shared" si="0"/>
        <v>6.2405531999999999</v>
      </c>
      <c r="E4">
        <f t="shared" si="1"/>
        <v>73.580849999999998</v>
      </c>
    </row>
    <row r="5" spans="1:5">
      <c r="A5" s="2" t="s">
        <v>36</v>
      </c>
      <c r="B5">
        <v>0.82099999999999995</v>
      </c>
      <c r="C5">
        <v>7.7751999999999999</v>
      </c>
      <c r="D5">
        <f t="shared" si="0"/>
        <v>2.5516679999999998</v>
      </c>
      <c r="E5">
        <f t="shared" si="1"/>
        <v>81.639600000000002</v>
      </c>
    </row>
    <row r="6" spans="1:5">
      <c r="A6" s="2" t="s">
        <v>37</v>
      </c>
      <c r="B6">
        <v>1.6597999999999999</v>
      </c>
      <c r="C6">
        <v>6.9988999999999999</v>
      </c>
      <c r="D6">
        <f t="shared" si="0"/>
        <v>5.1586584000000002</v>
      </c>
      <c r="E6">
        <f t="shared" si="1"/>
        <v>73.48845</v>
      </c>
    </row>
    <row r="7" spans="1:5">
      <c r="A7" s="2" t="s">
        <v>38</v>
      </c>
      <c r="B7">
        <v>2.0815999999999999</v>
      </c>
      <c r="C7">
        <v>6.6142000000000003</v>
      </c>
      <c r="D7">
        <f t="shared" si="0"/>
        <v>6.4696128000000002</v>
      </c>
      <c r="E7">
        <f t="shared" si="1"/>
        <v>69.449100000000001</v>
      </c>
    </row>
    <row r="8" spans="1:5">
      <c r="A8" s="2" t="s">
        <v>39</v>
      </c>
      <c r="B8">
        <v>0.81330000000000002</v>
      </c>
      <c r="C8">
        <v>6.1433</v>
      </c>
      <c r="D8">
        <f t="shared" si="0"/>
        <v>2.5277364000000002</v>
      </c>
      <c r="E8">
        <f t="shared" si="1"/>
        <v>64.504649999999998</v>
      </c>
    </row>
    <row r="9" spans="1:5">
      <c r="A9" s="2" t="s">
        <v>40</v>
      </c>
      <c r="B9">
        <v>1.4207000000000001</v>
      </c>
      <c r="C9">
        <v>5.1776999999999997</v>
      </c>
      <c r="D9">
        <f t="shared" si="0"/>
        <v>4.4155356000000001</v>
      </c>
      <c r="E9">
        <f t="shared" si="1"/>
        <v>54.365849999999995</v>
      </c>
    </row>
    <row r="10" spans="1:5">
      <c r="A10" s="2" t="s">
        <v>41</v>
      </c>
      <c r="B10">
        <v>1.8938999999999999</v>
      </c>
      <c r="C10">
        <v>4.7807000000000004</v>
      </c>
      <c r="D10">
        <f t="shared" si="0"/>
        <v>5.8862411999999997</v>
      </c>
      <c r="E10">
        <f t="shared" si="1"/>
        <v>50.197350000000007</v>
      </c>
    </row>
    <row r="11" spans="1:5">
      <c r="A11" s="2" t="s">
        <v>42</v>
      </c>
      <c r="B11">
        <v>0.84399999999999997</v>
      </c>
      <c r="C11">
        <v>5.6845999999999997</v>
      </c>
      <c r="D11">
        <f t="shared" si="0"/>
        <v>2.6231520000000002</v>
      </c>
      <c r="E11">
        <f t="shared" si="1"/>
        <v>59.688299999999998</v>
      </c>
    </row>
    <row r="12" spans="1:5">
      <c r="A12" s="2" t="s">
        <v>43</v>
      </c>
      <c r="B12">
        <v>1.494</v>
      </c>
      <c r="C12">
        <v>5.1170999999999998</v>
      </c>
      <c r="D12">
        <f t="shared" si="0"/>
        <v>4.6433520000000001</v>
      </c>
      <c r="E12">
        <f t="shared" si="1"/>
        <v>53.729549999999996</v>
      </c>
    </row>
    <row r="13" spans="1:5">
      <c r="A13" s="2" t="s">
        <v>44</v>
      </c>
      <c r="B13">
        <v>1.8065</v>
      </c>
      <c r="C13">
        <v>4.3868999999999998</v>
      </c>
      <c r="D13">
        <f t="shared" si="0"/>
        <v>5.6146020000000005</v>
      </c>
      <c r="E13">
        <f t="shared" si="1"/>
        <v>46.062449999999998</v>
      </c>
    </row>
    <row r="14" spans="1:5">
      <c r="A14" s="2" t="s">
        <v>45</v>
      </c>
      <c r="B14">
        <v>0.35680000000000001</v>
      </c>
      <c r="C14">
        <v>5.7244999999999999</v>
      </c>
      <c r="D14">
        <f t="shared" si="0"/>
        <v>1.1089344000000001</v>
      </c>
      <c r="E14">
        <f t="shared" si="1"/>
        <v>60.107250000000001</v>
      </c>
    </row>
    <row r="15" spans="1:5">
      <c r="A15" s="2" t="s">
        <v>46</v>
      </c>
      <c r="B15">
        <v>0.84189999999999998</v>
      </c>
      <c r="C15">
        <v>5.3803999999999998</v>
      </c>
      <c r="D15">
        <f t="shared" si="0"/>
        <v>2.6166252000000001</v>
      </c>
      <c r="E15">
        <f t="shared" si="1"/>
        <v>56.494199999999999</v>
      </c>
    </row>
    <row r="16" spans="1:5">
      <c r="A16" s="2" t="s">
        <v>47</v>
      </c>
      <c r="B16">
        <v>1.3278000000000001</v>
      </c>
      <c r="C16">
        <v>4.9840999999999998</v>
      </c>
      <c r="D16">
        <f t="shared" si="0"/>
        <v>4.1268024000000008</v>
      </c>
      <c r="E16">
        <f t="shared" si="1"/>
        <v>52.33305</v>
      </c>
    </row>
    <row r="17" spans="1:5">
      <c r="A17" s="2" t="s">
        <v>48</v>
      </c>
      <c r="B17">
        <v>0.56340000000000001</v>
      </c>
      <c r="C17">
        <v>5.4203000000000001</v>
      </c>
      <c r="D17">
        <f t="shared" si="0"/>
        <v>1.7510472000000001</v>
      </c>
      <c r="E17">
        <f t="shared" si="1"/>
        <v>56.913150000000002</v>
      </c>
    </row>
    <row r="18" spans="1:5">
      <c r="A18" s="2" t="s">
        <v>49</v>
      </c>
      <c r="B18">
        <v>1.2382</v>
      </c>
      <c r="C18">
        <v>5.5376000000000003</v>
      </c>
      <c r="D18">
        <f t="shared" si="0"/>
        <v>3.8483255999999999</v>
      </c>
      <c r="E18">
        <f t="shared" si="1"/>
        <v>58.144800000000004</v>
      </c>
    </row>
    <row r="19" spans="1:5">
      <c r="A19" s="2" t="s">
        <v>50</v>
      </c>
      <c r="B19">
        <v>1.3782000000000001</v>
      </c>
      <c r="C19">
        <v>4.4481999999999999</v>
      </c>
      <c r="D19">
        <f t="shared" si="0"/>
        <v>4.2834456000000003</v>
      </c>
      <c r="E19">
        <f t="shared" si="1"/>
        <v>46.706099999999999</v>
      </c>
    </row>
    <row r="20" spans="1:5">
      <c r="A20" s="2" t="s">
        <v>373</v>
      </c>
      <c r="B20">
        <v>0.70899999999999996</v>
      </c>
      <c r="C20">
        <v>5.4432</v>
      </c>
      <c r="D20">
        <f t="shared" si="0"/>
        <v>2.2035719999999999</v>
      </c>
      <c r="E20">
        <f t="shared" si="1"/>
        <v>57.153599999999997</v>
      </c>
    </row>
    <row r="21" spans="1:5">
      <c r="A21" s="2" t="s">
        <v>374</v>
      </c>
      <c r="B21">
        <v>1.3804000000000001</v>
      </c>
      <c r="C21">
        <v>4.726</v>
      </c>
      <c r="D21">
        <f t="shared" si="0"/>
        <v>4.2902832000000002</v>
      </c>
      <c r="E21">
        <f t="shared" si="1"/>
        <v>49.622999999999998</v>
      </c>
    </row>
    <row r="22" spans="1:5">
      <c r="A22" s="2" t="s">
        <v>375</v>
      </c>
      <c r="B22">
        <v>1.5981000000000001</v>
      </c>
      <c r="C22">
        <v>3.9645999999999999</v>
      </c>
      <c r="D22">
        <f t="shared" si="0"/>
        <v>4.9668948000000004</v>
      </c>
      <c r="E22">
        <f t="shared" si="1"/>
        <v>41.628299999999996</v>
      </c>
    </row>
    <row r="23" spans="1:5">
      <c r="A23" s="2" t="s">
        <v>376</v>
      </c>
      <c r="B23">
        <v>0.85419999999999996</v>
      </c>
      <c r="C23">
        <v>5.6593</v>
      </c>
      <c r="D23">
        <f t="shared" si="0"/>
        <v>2.6548536</v>
      </c>
      <c r="E23">
        <f t="shared" si="1"/>
        <v>59.422649999999997</v>
      </c>
    </row>
    <row r="24" spans="1:5">
      <c r="A24" s="2" t="s">
        <v>377</v>
      </c>
      <c r="B24">
        <v>1.4198999999999999</v>
      </c>
      <c r="C24">
        <v>4.8727</v>
      </c>
      <c r="D24">
        <f t="shared" si="0"/>
        <v>4.4130491999999997</v>
      </c>
      <c r="E24">
        <f t="shared" si="1"/>
        <v>51.163350000000001</v>
      </c>
    </row>
    <row r="25" spans="1:5">
      <c r="A25" s="2" t="s">
        <v>378</v>
      </c>
      <c r="B25">
        <v>1.66</v>
      </c>
      <c r="C25">
        <v>4.0605000000000002</v>
      </c>
      <c r="D25">
        <f t="shared" si="0"/>
        <v>5.1592799999999999</v>
      </c>
      <c r="E25">
        <f t="shared" si="1"/>
        <v>42.635249999999999</v>
      </c>
    </row>
    <row r="26" spans="1:5">
      <c r="A26" s="2" t="s">
        <v>57</v>
      </c>
      <c r="B26">
        <v>0.3049</v>
      </c>
      <c r="C26">
        <v>5.2801999999999998</v>
      </c>
      <c r="D26">
        <f t="shared" si="0"/>
        <v>0.94762920000000006</v>
      </c>
      <c r="E26">
        <f t="shared" si="1"/>
        <v>55.442099999999996</v>
      </c>
    </row>
    <row r="27" spans="1:5">
      <c r="A27" s="2" t="s">
        <v>58</v>
      </c>
      <c r="B27">
        <v>0.90839999999999999</v>
      </c>
      <c r="C27">
        <v>6.2363999999999997</v>
      </c>
      <c r="D27">
        <f t="shared" si="0"/>
        <v>2.8233071999999999</v>
      </c>
      <c r="E27">
        <f t="shared" si="1"/>
        <v>65.482199999999992</v>
      </c>
    </row>
    <row r="28" spans="1:5">
      <c r="A28" s="2" t="s">
        <v>59</v>
      </c>
      <c r="B28">
        <v>1.0391999999999999</v>
      </c>
      <c r="C28">
        <v>4.1623000000000001</v>
      </c>
      <c r="D28">
        <f t="shared" si="0"/>
        <v>3.2298335999999996</v>
      </c>
      <c r="E28">
        <f t="shared" si="1"/>
        <v>43.704149999999998</v>
      </c>
    </row>
    <row r="29" spans="1:5">
      <c r="A29" s="2" t="s">
        <v>60</v>
      </c>
      <c r="B29">
        <v>0.57750000000000001</v>
      </c>
      <c r="C29">
        <v>5.4675000000000002</v>
      </c>
      <c r="D29">
        <f t="shared" si="0"/>
        <v>1.7948700000000002</v>
      </c>
      <c r="E29">
        <f t="shared" si="1"/>
        <v>57.408750000000005</v>
      </c>
    </row>
    <row r="30" spans="1:5">
      <c r="A30" s="2" t="s">
        <v>61</v>
      </c>
      <c r="B30">
        <v>1.3587</v>
      </c>
      <c r="C30">
        <v>5.5785999999999998</v>
      </c>
      <c r="D30">
        <f t="shared" si="0"/>
        <v>4.2228396000000004</v>
      </c>
      <c r="E30">
        <f t="shared" si="1"/>
        <v>58.575299999999999</v>
      </c>
    </row>
    <row r="31" spans="1:5">
      <c r="A31" s="2" t="s">
        <v>62</v>
      </c>
      <c r="B31">
        <v>1.8151999999999999</v>
      </c>
      <c r="C31">
        <v>5.1878000000000002</v>
      </c>
      <c r="D31">
        <f t="shared" si="0"/>
        <v>5.6416415999999998</v>
      </c>
      <c r="E31">
        <f t="shared" si="1"/>
        <v>54.471900000000005</v>
      </c>
    </row>
    <row r="32" spans="1:5">
      <c r="A32" s="2" t="s">
        <v>63</v>
      </c>
      <c r="B32">
        <v>0.82030000000000003</v>
      </c>
      <c r="C32">
        <v>5.9660000000000002</v>
      </c>
      <c r="D32">
        <f t="shared" si="0"/>
        <v>2.5494924000000001</v>
      </c>
      <c r="E32">
        <f t="shared" si="1"/>
        <v>62.643000000000001</v>
      </c>
    </row>
    <row r="33" spans="1:5">
      <c r="A33" s="2" t="s">
        <v>64</v>
      </c>
      <c r="B33">
        <v>1.5964</v>
      </c>
      <c r="C33">
        <v>5.4024999999999999</v>
      </c>
      <c r="D33">
        <f t="shared" si="0"/>
        <v>4.9616112000000001</v>
      </c>
      <c r="E33">
        <f t="shared" si="1"/>
        <v>56.72625</v>
      </c>
    </row>
    <row r="34" spans="1:5">
      <c r="A34" s="2" t="s">
        <v>65</v>
      </c>
      <c r="B34">
        <v>1.9477</v>
      </c>
      <c r="C34">
        <v>4.5812999999999997</v>
      </c>
      <c r="D34">
        <f t="shared" si="0"/>
        <v>6.0534515999999998</v>
      </c>
      <c r="E34">
        <f t="shared" si="1"/>
        <v>48.103649999999995</v>
      </c>
    </row>
    <row r="35" spans="1:5">
      <c r="A35" s="2" t="s">
        <v>66</v>
      </c>
      <c r="B35">
        <v>0.90869999999999995</v>
      </c>
      <c r="C35">
        <v>5.7157999999999998</v>
      </c>
      <c r="D35">
        <f t="shared" si="0"/>
        <v>2.8242395999999999</v>
      </c>
      <c r="E35">
        <f t="shared" si="1"/>
        <v>60.015899999999995</v>
      </c>
    </row>
    <row r="36" spans="1:5">
      <c r="A36" s="2" t="s">
        <v>67</v>
      </c>
      <c r="B36">
        <v>1.5999000000000001</v>
      </c>
      <c r="C36">
        <v>5.3752000000000004</v>
      </c>
      <c r="D36">
        <f t="shared" si="0"/>
        <v>4.9724892000000001</v>
      </c>
      <c r="E36">
        <f t="shared" si="1"/>
        <v>56.439600000000006</v>
      </c>
    </row>
    <row r="37" spans="1:5">
      <c r="A37" s="2" t="s">
        <v>68</v>
      </c>
      <c r="B37">
        <v>2.1356999999999999</v>
      </c>
      <c r="C37">
        <v>5.2435999999999998</v>
      </c>
      <c r="D37">
        <f t="shared" si="0"/>
        <v>6.6377556000000002</v>
      </c>
      <c r="E37">
        <f t="shared" si="1"/>
        <v>55.0578</v>
      </c>
    </row>
    <row r="38" spans="1:5">
      <c r="A38" s="2" t="s">
        <v>69</v>
      </c>
      <c r="B38">
        <v>0.35110000000000002</v>
      </c>
      <c r="C38">
        <v>6.2229000000000001</v>
      </c>
      <c r="D38">
        <f t="shared" si="0"/>
        <v>1.0912188</v>
      </c>
      <c r="E38">
        <f t="shared" si="1"/>
        <v>65.340450000000004</v>
      </c>
    </row>
    <row r="39" spans="1:5">
      <c r="A39" s="2" t="s">
        <v>70</v>
      </c>
      <c r="B39">
        <v>0.93240000000000001</v>
      </c>
      <c r="C39">
        <v>5.8243</v>
      </c>
      <c r="D39">
        <f t="shared" si="0"/>
        <v>2.8978991999999999</v>
      </c>
      <c r="E39">
        <f t="shared" si="1"/>
        <v>61.155149999999999</v>
      </c>
    </row>
    <row r="40" spans="1:5">
      <c r="A40" s="2" t="s">
        <v>71</v>
      </c>
      <c r="B40">
        <v>1.5921000000000001</v>
      </c>
      <c r="C40">
        <v>5.6238000000000001</v>
      </c>
      <c r="D40">
        <f t="shared" si="0"/>
        <v>4.9482468000000006</v>
      </c>
      <c r="E40">
        <f t="shared" si="1"/>
        <v>59.049900000000001</v>
      </c>
    </row>
    <row r="41" spans="1:5">
      <c r="A41" s="2" t="s">
        <v>72</v>
      </c>
      <c r="B41">
        <v>0.74870000000000003</v>
      </c>
      <c r="C41">
        <v>7.1473000000000004</v>
      </c>
      <c r="D41">
        <f t="shared" si="0"/>
        <v>2.3269596000000003</v>
      </c>
      <c r="E41">
        <f t="shared" si="1"/>
        <v>75.04665</v>
      </c>
    </row>
    <row r="42" spans="1:5">
      <c r="A42" s="2" t="s">
        <v>73</v>
      </c>
      <c r="B42">
        <v>1.5250999999999999</v>
      </c>
      <c r="C42">
        <v>6.3601999999999999</v>
      </c>
      <c r="D42">
        <f t="shared" si="0"/>
        <v>4.7400107999999994</v>
      </c>
      <c r="E42">
        <f t="shared" si="1"/>
        <v>66.7821</v>
      </c>
    </row>
    <row r="43" spans="1:5">
      <c r="A43" s="2" t="s">
        <v>74</v>
      </c>
      <c r="B43">
        <v>2.0762</v>
      </c>
      <c r="C43">
        <v>6.0029000000000003</v>
      </c>
      <c r="D43">
        <f t="shared" si="0"/>
        <v>6.4528296000000003</v>
      </c>
      <c r="E43">
        <f t="shared" si="1"/>
        <v>63.030450000000002</v>
      </c>
    </row>
    <row r="44" spans="1:5">
      <c r="A44" s="2" t="s">
        <v>75</v>
      </c>
      <c r="B44">
        <v>0.96730000000000005</v>
      </c>
      <c r="C44">
        <v>7.1547999999999998</v>
      </c>
      <c r="D44">
        <f t="shared" si="0"/>
        <v>3.0063684000000004</v>
      </c>
      <c r="E44">
        <f t="shared" si="1"/>
        <v>75.125399999999999</v>
      </c>
    </row>
    <row r="45" spans="1:5">
      <c r="A45" s="2" t="s">
        <v>76</v>
      </c>
      <c r="B45">
        <v>1.8298000000000001</v>
      </c>
      <c r="C45">
        <v>5.7816999999999998</v>
      </c>
      <c r="D45">
        <f t="shared" si="0"/>
        <v>5.6870184000000004</v>
      </c>
      <c r="E45">
        <f t="shared" si="1"/>
        <v>60.707850000000001</v>
      </c>
    </row>
    <row r="46" spans="1:5">
      <c r="A46" s="2" t="s">
        <v>77</v>
      </c>
      <c r="B46">
        <v>2.3996</v>
      </c>
      <c r="C46">
        <v>5.8693999999999997</v>
      </c>
      <c r="D46">
        <f t="shared" si="0"/>
        <v>7.4579567999999998</v>
      </c>
      <c r="E46">
        <f t="shared" si="1"/>
        <v>61.628699999999995</v>
      </c>
    </row>
    <row r="47" spans="1:5">
      <c r="A47" s="2" t="s">
        <v>78</v>
      </c>
      <c r="B47">
        <v>1.0649999999999999</v>
      </c>
      <c r="C47">
        <v>6.9747000000000003</v>
      </c>
      <c r="D47">
        <f t="shared" si="0"/>
        <v>3.3100199999999997</v>
      </c>
      <c r="E47">
        <f t="shared" si="1"/>
        <v>73.234350000000006</v>
      </c>
    </row>
    <row r="48" spans="1:5">
      <c r="A48" s="2" t="s">
        <v>79</v>
      </c>
      <c r="B48">
        <v>1.8268</v>
      </c>
      <c r="C48">
        <v>6.2032999999999996</v>
      </c>
      <c r="D48">
        <f t="shared" si="0"/>
        <v>5.6776944</v>
      </c>
      <c r="E48">
        <f t="shared" si="1"/>
        <v>65.134649999999993</v>
      </c>
    </row>
    <row r="49" spans="1:5">
      <c r="A49" s="2" t="s">
        <v>80</v>
      </c>
      <c r="B49">
        <v>2.3668</v>
      </c>
      <c r="C49">
        <v>5.7275</v>
      </c>
      <c r="D49">
        <f t="shared" si="0"/>
        <v>7.3560144000000003</v>
      </c>
      <c r="E49">
        <f t="shared" si="1"/>
        <v>60.138750000000002</v>
      </c>
    </row>
    <row r="50" spans="1:5">
      <c r="A50" s="2" t="s">
        <v>81</v>
      </c>
      <c r="B50">
        <v>0.52039999999999997</v>
      </c>
      <c r="C50">
        <v>7.476</v>
      </c>
      <c r="D50">
        <f t="shared" si="0"/>
        <v>1.6174032</v>
      </c>
      <c r="E50">
        <f t="shared" si="1"/>
        <v>78.498000000000005</v>
      </c>
    </row>
    <row r="51" spans="1:5">
      <c r="A51" s="2" t="s">
        <v>82</v>
      </c>
      <c r="B51">
        <v>1.181</v>
      </c>
      <c r="C51">
        <v>7.0979000000000001</v>
      </c>
      <c r="D51">
        <f t="shared" si="0"/>
        <v>3.6705480000000001</v>
      </c>
      <c r="E51">
        <f t="shared" si="1"/>
        <v>74.527950000000004</v>
      </c>
    </row>
    <row r="52" spans="1:5">
      <c r="A52" s="2" t="s">
        <v>83</v>
      </c>
      <c r="B52">
        <v>1.7645999999999999</v>
      </c>
      <c r="C52">
        <v>6.4006999999999996</v>
      </c>
      <c r="D52">
        <f t="shared" si="0"/>
        <v>5.4843767999999997</v>
      </c>
      <c r="E52">
        <f t="shared" si="1"/>
        <v>67.207349999999991</v>
      </c>
    </row>
    <row r="53" spans="1:5">
      <c r="A53" s="2" t="s">
        <v>84</v>
      </c>
      <c r="B53">
        <v>0.79959999999999998</v>
      </c>
      <c r="C53">
        <v>7.4196</v>
      </c>
      <c r="D53">
        <f t="shared" si="0"/>
        <v>2.4851567999999999</v>
      </c>
      <c r="E53">
        <f t="shared" si="1"/>
        <v>77.905799999999999</v>
      </c>
    </row>
    <row r="54" spans="1:5">
      <c r="A54" s="2" t="s">
        <v>85</v>
      </c>
      <c r="B54">
        <v>1.5208999999999999</v>
      </c>
      <c r="C54">
        <v>6.6493000000000002</v>
      </c>
      <c r="D54">
        <f t="shared" si="0"/>
        <v>4.7269572000000002</v>
      </c>
      <c r="E54">
        <f t="shared" si="1"/>
        <v>69.81765</v>
      </c>
    </row>
    <row r="55" spans="1:5">
      <c r="A55" s="2" t="s">
        <v>86</v>
      </c>
      <c r="B55">
        <v>1.4822</v>
      </c>
      <c r="C55">
        <v>6.4263000000000003</v>
      </c>
      <c r="D55">
        <f t="shared" si="0"/>
        <v>4.6066776000000003</v>
      </c>
      <c r="E55">
        <f t="shared" si="1"/>
        <v>67.476150000000004</v>
      </c>
    </row>
    <row r="56" spans="1:5">
      <c r="A56" s="2" t="s">
        <v>87</v>
      </c>
      <c r="B56">
        <v>0.95660000000000001</v>
      </c>
      <c r="C56">
        <v>6.9564000000000004</v>
      </c>
      <c r="D56">
        <f t="shared" si="0"/>
        <v>2.9731128</v>
      </c>
      <c r="E56">
        <f t="shared" si="1"/>
        <v>73.042200000000008</v>
      </c>
    </row>
    <row r="57" spans="1:5">
      <c r="A57" s="2" t="s">
        <v>88</v>
      </c>
      <c r="B57">
        <v>1.6856</v>
      </c>
      <c r="C57">
        <v>6.2173999999999996</v>
      </c>
      <c r="D57">
        <f t="shared" si="0"/>
        <v>5.2388447999999999</v>
      </c>
      <c r="E57">
        <f t="shared" si="1"/>
        <v>65.282699999999991</v>
      </c>
    </row>
    <row r="58" spans="1:5">
      <c r="A58" s="2" t="s">
        <v>89</v>
      </c>
      <c r="B58">
        <v>2.4257</v>
      </c>
      <c r="C58">
        <v>5.7866999999999997</v>
      </c>
      <c r="D58">
        <f t="shared" si="0"/>
        <v>7.5390756000000003</v>
      </c>
      <c r="E58">
        <f t="shared" si="1"/>
        <v>60.760349999999995</v>
      </c>
    </row>
    <row r="59" spans="1:5">
      <c r="A59" s="2" t="s">
        <v>90</v>
      </c>
      <c r="B59">
        <v>1.0651999999999999</v>
      </c>
      <c r="C59">
        <v>6.8254000000000001</v>
      </c>
      <c r="D59">
        <f t="shared" si="0"/>
        <v>3.3106415999999999</v>
      </c>
      <c r="E59">
        <f t="shared" si="1"/>
        <v>71.666700000000006</v>
      </c>
    </row>
    <row r="60" spans="1:5">
      <c r="A60" s="2" t="s">
        <v>91</v>
      </c>
      <c r="B60">
        <v>1.867</v>
      </c>
      <c r="C60">
        <v>6.2298999999999998</v>
      </c>
      <c r="D60">
        <f t="shared" si="0"/>
        <v>5.8026360000000006</v>
      </c>
      <c r="E60">
        <f t="shared" si="1"/>
        <v>65.41395</v>
      </c>
    </row>
    <row r="61" spans="1:5">
      <c r="A61" s="2" t="s">
        <v>92</v>
      </c>
      <c r="B61">
        <v>2.4121999999999999</v>
      </c>
      <c r="C61">
        <v>5.7140000000000004</v>
      </c>
      <c r="D61">
        <f t="shared" si="0"/>
        <v>7.4971176000000002</v>
      </c>
      <c r="E61">
        <f t="shared" si="1"/>
        <v>59.997000000000007</v>
      </c>
    </row>
    <row r="62" spans="1:5">
      <c r="A62" s="2" t="s">
        <v>93</v>
      </c>
      <c r="B62">
        <v>0.48899999999999999</v>
      </c>
      <c r="C62">
        <v>7.2314999999999996</v>
      </c>
      <c r="D62">
        <f t="shared" si="0"/>
        <v>1.5198119999999999</v>
      </c>
      <c r="E62">
        <f t="shared" si="1"/>
        <v>75.930749999999989</v>
      </c>
    </row>
    <row r="63" spans="1:5">
      <c r="A63" s="2" t="s">
        <v>94</v>
      </c>
      <c r="B63">
        <v>1.1386000000000001</v>
      </c>
      <c r="C63">
        <v>7.2142999999999997</v>
      </c>
      <c r="D63">
        <f t="shared" si="0"/>
        <v>3.5387688000000002</v>
      </c>
      <c r="E63">
        <f t="shared" si="1"/>
        <v>75.750149999999991</v>
      </c>
    </row>
    <row r="64" spans="1:5">
      <c r="A64" s="2" t="s">
        <v>95</v>
      </c>
      <c r="B64">
        <v>1.7498</v>
      </c>
      <c r="C64">
        <v>7.0486000000000004</v>
      </c>
      <c r="D64">
        <f t="shared" si="0"/>
        <v>5.4383784000000004</v>
      </c>
      <c r="E64">
        <f t="shared" si="1"/>
        <v>74.010300000000001</v>
      </c>
    </row>
    <row r="65" spans="1:5">
      <c r="A65" s="2" t="s">
        <v>96</v>
      </c>
      <c r="B65">
        <v>0.7883</v>
      </c>
      <c r="C65">
        <v>7.8974000000000002</v>
      </c>
      <c r="D65">
        <f t="shared" si="0"/>
        <v>2.4500364000000001</v>
      </c>
      <c r="E65">
        <f t="shared" si="1"/>
        <v>82.922700000000006</v>
      </c>
    </row>
    <row r="66" spans="1:5">
      <c r="A66" s="2" t="s">
        <v>97</v>
      </c>
      <c r="B66">
        <v>1.508</v>
      </c>
      <c r="C66">
        <v>7.1920999999999999</v>
      </c>
      <c r="D66">
        <f t="shared" si="0"/>
        <v>4.6868639999999999</v>
      </c>
      <c r="E66">
        <f t="shared" si="1"/>
        <v>75.517049999999998</v>
      </c>
    </row>
    <row r="67" spans="1:5">
      <c r="A67" s="2" t="s">
        <v>98</v>
      </c>
      <c r="B67">
        <v>2.0032000000000001</v>
      </c>
      <c r="C67">
        <v>6.5837000000000003</v>
      </c>
      <c r="D67">
        <f t="shared" ref="D67:D130" si="2">B67*3.108</f>
        <v>6.2259456000000002</v>
      </c>
      <c r="E67">
        <f t="shared" ref="E67:E130" si="3">C67*10.5</f>
        <v>69.12885</v>
      </c>
    </row>
    <row r="68" spans="1:5">
      <c r="A68" s="2" t="s">
        <v>99</v>
      </c>
      <c r="B68">
        <v>0.95809999999999995</v>
      </c>
      <c r="C68">
        <v>7.3301999999999996</v>
      </c>
      <c r="D68">
        <f t="shared" si="2"/>
        <v>2.9777747999999997</v>
      </c>
      <c r="E68">
        <f t="shared" si="3"/>
        <v>76.967100000000002</v>
      </c>
    </row>
    <row r="69" spans="1:5">
      <c r="A69" s="2" t="s">
        <v>100</v>
      </c>
      <c r="B69">
        <v>1.8190999999999999</v>
      </c>
      <c r="C69">
        <v>6.0393999999999997</v>
      </c>
      <c r="D69">
        <f t="shared" si="2"/>
        <v>5.6537628</v>
      </c>
      <c r="E69">
        <f t="shared" si="3"/>
        <v>63.413699999999999</v>
      </c>
    </row>
    <row r="70" spans="1:5">
      <c r="A70" s="2" t="s">
        <v>101</v>
      </c>
      <c r="B70">
        <v>2.4775</v>
      </c>
      <c r="C70">
        <v>6.1885000000000003</v>
      </c>
      <c r="D70">
        <f t="shared" si="2"/>
        <v>7.7000700000000002</v>
      </c>
      <c r="E70">
        <f t="shared" si="3"/>
        <v>64.979250000000008</v>
      </c>
    </row>
    <row r="71" spans="1:5">
      <c r="A71" s="2" t="s">
        <v>102</v>
      </c>
      <c r="B71">
        <v>0.98480000000000001</v>
      </c>
      <c r="C71">
        <v>6.6295000000000002</v>
      </c>
      <c r="D71">
        <f t="shared" si="2"/>
        <v>3.0607584000000001</v>
      </c>
      <c r="E71">
        <f t="shared" si="3"/>
        <v>69.609750000000005</v>
      </c>
    </row>
    <row r="72" spans="1:5">
      <c r="A72" s="2" t="s">
        <v>103</v>
      </c>
      <c r="B72">
        <v>1.9469000000000001</v>
      </c>
      <c r="C72">
        <v>6.7907000000000002</v>
      </c>
      <c r="D72">
        <f t="shared" si="2"/>
        <v>6.0509652000000003</v>
      </c>
      <c r="E72">
        <f t="shared" si="3"/>
        <v>71.302350000000004</v>
      </c>
    </row>
    <row r="73" spans="1:5">
      <c r="A73" s="2" t="s">
        <v>104</v>
      </c>
      <c r="B73">
        <v>2.4992999999999999</v>
      </c>
      <c r="C73">
        <v>6.0853999999999999</v>
      </c>
      <c r="D73">
        <f t="shared" si="2"/>
        <v>7.7678243999999994</v>
      </c>
      <c r="E73">
        <f t="shared" si="3"/>
        <v>63.896699999999996</v>
      </c>
    </row>
    <row r="74" spans="1:5">
      <c r="A74" s="11" t="s">
        <v>105</v>
      </c>
      <c r="B74" s="12">
        <v>0.47760000000000002</v>
      </c>
      <c r="C74" s="12">
        <v>6.8456000000000001</v>
      </c>
      <c r="D74">
        <f t="shared" si="2"/>
        <v>1.4843808000000001</v>
      </c>
      <c r="E74">
        <f t="shared" si="3"/>
        <v>71.878799999999998</v>
      </c>
    </row>
    <row r="75" spans="1:5">
      <c r="A75" s="2" t="s">
        <v>106</v>
      </c>
      <c r="B75">
        <v>1.4751000000000001</v>
      </c>
      <c r="C75">
        <v>9.0276999999999994</v>
      </c>
      <c r="D75">
        <f t="shared" si="2"/>
        <v>4.5846108000000001</v>
      </c>
      <c r="E75">
        <f t="shared" si="3"/>
        <v>94.790849999999992</v>
      </c>
    </row>
    <row r="76" spans="1:5">
      <c r="A76" s="2" t="s">
        <v>107</v>
      </c>
      <c r="B76">
        <v>2.1751</v>
      </c>
      <c r="C76">
        <v>8.2364999999999995</v>
      </c>
      <c r="D76">
        <f t="shared" si="2"/>
        <v>6.7602108000000003</v>
      </c>
      <c r="E76">
        <f t="shared" si="3"/>
        <v>86.483249999999998</v>
      </c>
    </row>
    <row r="77" spans="1:5">
      <c r="A77" s="2" t="s">
        <v>108</v>
      </c>
      <c r="B77">
        <v>0.95960000000000001</v>
      </c>
      <c r="C77">
        <v>10.2075</v>
      </c>
      <c r="D77">
        <f t="shared" si="2"/>
        <v>2.9824368000000003</v>
      </c>
      <c r="E77">
        <f t="shared" si="3"/>
        <v>107.17874999999999</v>
      </c>
    </row>
    <row r="78" spans="1:5">
      <c r="A78" s="2" t="s">
        <v>109</v>
      </c>
      <c r="B78">
        <v>1.7572000000000001</v>
      </c>
      <c r="C78">
        <v>8.3093000000000004</v>
      </c>
      <c r="D78">
        <f t="shared" si="2"/>
        <v>5.4613776000000005</v>
      </c>
      <c r="E78">
        <f t="shared" si="3"/>
        <v>87.247650000000007</v>
      </c>
    </row>
    <row r="79" spans="1:5">
      <c r="A79" s="2" t="s">
        <v>110</v>
      </c>
      <c r="B79">
        <v>2.3755999999999999</v>
      </c>
      <c r="C79">
        <v>7.54</v>
      </c>
      <c r="D79">
        <f t="shared" si="2"/>
        <v>7.3833647999999998</v>
      </c>
      <c r="E79">
        <f t="shared" si="3"/>
        <v>79.17</v>
      </c>
    </row>
    <row r="80" spans="1:5">
      <c r="A80" s="2" t="s">
        <v>111</v>
      </c>
      <c r="B80">
        <v>0.87260000000000004</v>
      </c>
      <c r="C80">
        <v>8.6856000000000009</v>
      </c>
      <c r="D80">
        <f t="shared" si="2"/>
        <v>2.7120408</v>
      </c>
      <c r="E80">
        <f t="shared" si="3"/>
        <v>91.198800000000006</v>
      </c>
    </row>
    <row r="81" spans="1:5">
      <c r="A81" s="2" t="s">
        <v>112</v>
      </c>
      <c r="B81">
        <v>1.3631</v>
      </c>
      <c r="C81">
        <v>8.4760000000000009</v>
      </c>
      <c r="D81">
        <f t="shared" si="2"/>
        <v>4.2365148000000001</v>
      </c>
      <c r="E81">
        <f t="shared" si="3"/>
        <v>88.998000000000005</v>
      </c>
    </row>
    <row r="82" spans="1:5">
      <c r="A82" s="2" t="s">
        <v>113</v>
      </c>
      <c r="B82">
        <v>1.4907999999999999</v>
      </c>
      <c r="C82">
        <v>7.8590999999999998</v>
      </c>
      <c r="D82">
        <f t="shared" si="2"/>
        <v>4.6334064000000001</v>
      </c>
      <c r="E82">
        <f t="shared" si="3"/>
        <v>82.52055</v>
      </c>
    </row>
    <row r="83" spans="1:5">
      <c r="A83" s="2" t="s">
        <v>114</v>
      </c>
      <c r="B83">
        <v>8.6599999999999996E-2</v>
      </c>
      <c r="C83">
        <v>8.9126999999999992</v>
      </c>
      <c r="D83">
        <f t="shared" si="2"/>
        <v>0.26915279999999997</v>
      </c>
      <c r="E83">
        <f t="shared" si="3"/>
        <v>93.583349999999996</v>
      </c>
    </row>
    <row r="84" spans="1:5">
      <c r="A84" s="2" t="s">
        <v>115</v>
      </c>
      <c r="B84">
        <v>8.5900000000000004E-2</v>
      </c>
      <c r="C84">
        <v>8.7997999999999994</v>
      </c>
      <c r="D84">
        <f t="shared" si="2"/>
        <v>0.26697720000000003</v>
      </c>
      <c r="E84">
        <f t="shared" si="3"/>
        <v>92.397899999999993</v>
      </c>
    </row>
    <row r="85" spans="1:5">
      <c r="A85" s="2" t="s">
        <v>116</v>
      </c>
      <c r="B85">
        <v>8.8900000000000007E-2</v>
      </c>
      <c r="C85">
        <v>8.3842999999999996</v>
      </c>
      <c r="D85">
        <f t="shared" si="2"/>
        <v>0.27630120000000002</v>
      </c>
      <c r="E85">
        <f t="shared" si="3"/>
        <v>88.035150000000002</v>
      </c>
    </row>
    <row r="86" spans="1:5">
      <c r="A86" s="2" t="s">
        <v>117</v>
      </c>
      <c r="B86">
        <v>0.62280000000000002</v>
      </c>
      <c r="C86">
        <v>9.0611999999999995</v>
      </c>
      <c r="D86">
        <f t="shared" si="2"/>
        <v>1.9356624000000002</v>
      </c>
      <c r="E86">
        <f t="shared" si="3"/>
        <v>95.142599999999987</v>
      </c>
    </row>
    <row r="87" spans="1:5">
      <c r="A87" s="2" t="s">
        <v>118</v>
      </c>
      <c r="B87">
        <v>1.2999000000000001</v>
      </c>
      <c r="C87">
        <v>8.5396999999999998</v>
      </c>
      <c r="D87">
        <f t="shared" si="2"/>
        <v>4.0400892000000006</v>
      </c>
      <c r="E87">
        <f t="shared" si="3"/>
        <v>89.666849999999997</v>
      </c>
    </row>
    <row r="88" spans="1:5">
      <c r="A88" s="2" t="s">
        <v>119</v>
      </c>
      <c r="B88">
        <v>1.9594</v>
      </c>
      <c r="C88">
        <v>7.8040000000000003</v>
      </c>
      <c r="D88">
        <f t="shared" si="2"/>
        <v>6.0898152000000003</v>
      </c>
      <c r="E88">
        <f t="shared" si="3"/>
        <v>81.942000000000007</v>
      </c>
    </row>
    <row r="89" spans="1:5">
      <c r="A89" s="2" t="s">
        <v>120</v>
      </c>
      <c r="B89">
        <v>0.74139999999999995</v>
      </c>
      <c r="C89">
        <v>8.0009999999999994</v>
      </c>
      <c r="D89">
        <f t="shared" si="2"/>
        <v>2.3042712000000001</v>
      </c>
      <c r="E89">
        <f t="shared" si="3"/>
        <v>84.010499999999993</v>
      </c>
    </row>
    <row r="90" spans="1:5">
      <c r="A90" s="2" t="s">
        <v>121</v>
      </c>
      <c r="B90">
        <v>1.5303</v>
      </c>
      <c r="C90">
        <v>7.5667</v>
      </c>
      <c r="D90">
        <f t="shared" si="2"/>
        <v>4.7561724000000005</v>
      </c>
      <c r="E90">
        <f t="shared" si="3"/>
        <v>79.45035</v>
      </c>
    </row>
    <row r="91" spans="1:5">
      <c r="A91" s="2" t="s">
        <v>122</v>
      </c>
      <c r="B91">
        <v>2.1985000000000001</v>
      </c>
      <c r="C91">
        <v>7.2111000000000001</v>
      </c>
      <c r="D91">
        <f t="shared" si="2"/>
        <v>6.8329380000000004</v>
      </c>
      <c r="E91">
        <f t="shared" si="3"/>
        <v>75.716549999999998</v>
      </c>
    </row>
    <row r="92" spans="1:5">
      <c r="A92" s="2" t="s">
        <v>379</v>
      </c>
      <c r="B92">
        <v>0.92330000000000001</v>
      </c>
      <c r="C92">
        <v>7.7564000000000002</v>
      </c>
      <c r="D92">
        <f t="shared" si="2"/>
        <v>2.8696164</v>
      </c>
      <c r="E92">
        <f t="shared" si="3"/>
        <v>81.4422</v>
      </c>
    </row>
    <row r="93" spans="1:5">
      <c r="A93" s="2" t="s">
        <v>380</v>
      </c>
      <c r="B93">
        <v>1.5195000000000001</v>
      </c>
      <c r="C93">
        <v>7.3738000000000001</v>
      </c>
      <c r="D93">
        <f t="shared" si="2"/>
        <v>4.7226060000000007</v>
      </c>
      <c r="E93">
        <f t="shared" si="3"/>
        <v>77.424900000000008</v>
      </c>
    </row>
    <row r="94" spans="1:5">
      <c r="A94" s="2" t="s">
        <v>381</v>
      </c>
      <c r="B94">
        <v>1.8176000000000001</v>
      </c>
      <c r="C94">
        <v>6.8775000000000004</v>
      </c>
      <c r="D94">
        <f t="shared" si="2"/>
        <v>5.6491008000000003</v>
      </c>
      <c r="E94">
        <f t="shared" si="3"/>
        <v>72.213750000000005</v>
      </c>
    </row>
    <row r="95" spans="1:5">
      <c r="A95" s="2" t="s">
        <v>382</v>
      </c>
      <c r="B95">
        <v>0.1517</v>
      </c>
      <c r="C95">
        <v>8.1801999999999992</v>
      </c>
      <c r="D95">
        <f t="shared" si="2"/>
        <v>0.4714836</v>
      </c>
      <c r="E95">
        <f t="shared" si="3"/>
        <v>85.892099999999999</v>
      </c>
    </row>
    <row r="96" spans="1:5">
      <c r="A96" s="2" t="s">
        <v>383</v>
      </c>
      <c r="B96">
        <v>8.1000000000000003E-2</v>
      </c>
      <c r="C96">
        <v>7.9635999999999996</v>
      </c>
      <c r="D96">
        <f t="shared" si="2"/>
        <v>0.25174800000000003</v>
      </c>
      <c r="E96">
        <f t="shared" si="3"/>
        <v>83.617799999999988</v>
      </c>
    </row>
    <row r="97" spans="1:5">
      <c r="A97" s="2" t="s">
        <v>384</v>
      </c>
      <c r="B97">
        <v>8.5599999999999996E-2</v>
      </c>
      <c r="C97">
        <v>7.6883999999999997</v>
      </c>
      <c r="D97">
        <f t="shared" si="2"/>
        <v>0.26604479999999997</v>
      </c>
      <c r="E97">
        <f t="shared" si="3"/>
        <v>80.728200000000001</v>
      </c>
    </row>
    <row r="98" spans="1:5">
      <c r="A98" s="2" t="s">
        <v>129</v>
      </c>
      <c r="B98">
        <v>0.56479999999999997</v>
      </c>
      <c r="C98">
        <v>7.7430000000000003</v>
      </c>
      <c r="D98">
        <f t="shared" si="2"/>
        <v>1.7553984</v>
      </c>
      <c r="E98">
        <f t="shared" si="3"/>
        <v>81.301500000000004</v>
      </c>
    </row>
    <row r="99" spans="1:5">
      <c r="A99" s="2" t="s">
        <v>130</v>
      </c>
      <c r="B99">
        <v>1.2543</v>
      </c>
      <c r="C99">
        <v>7.5290999999999997</v>
      </c>
      <c r="D99">
        <f t="shared" si="2"/>
        <v>3.8983644000000002</v>
      </c>
      <c r="E99">
        <f t="shared" si="3"/>
        <v>79.055549999999997</v>
      </c>
    </row>
    <row r="100" spans="1:5">
      <c r="A100" s="2" t="s">
        <v>131</v>
      </c>
      <c r="B100">
        <v>1.8863000000000001</v>
      </c>
      <c r="C100">
        <v>6.9904000000000002</v>
      </c>
      <c r="D100">
        <f t="shared" si="2"/>
        <v>5.8626204000000008</v>
      </c>
      <c r="E100">
        <f t="shared" si="3"/>
        <v>73.399200000000008</v>
      </c>
    </row>
    <row r="101" spans="1:5">
      <c r="A101" s="2" t="s">
        <v>132</v>
      </c>
      <c r="B101">
        <v>0.73839999999999995</v>
      </c>
      <c r="C101">
        <v>7.5566000000000004</v>
      </c>
      <c r="D101">
        <f t="shared" si="2"/>
        <v>2.2949471999999997</v>
      </c>
      <c r="E101">
        <f t="shared" si="3"/>
        <v>79.344300000000004</v>
      </c>
    </row>
    <row r="102" spans="1:5">
      <c r="A102" s="2" t="s">
        <v>133</v>
      </c>
      <c r="B102">
        <v>1.5196000000000001</v>
      </c>
      <c r="C102">
        <v>7.0011999999999999</v>
      </c>
      <c r="D102">
        <f t="shared" si="2"/>
        <v>4.7229168000000001</v>
      </c>
      <c r="E102">
        <f t="shared" si="3"/>
        <v>73.512599999999992</v>
      </c>
    </row>
    <row r="103" spans="1:5">
      <c r="A103" s="2" t="s">
        <v>134</v>
      </c>
      <c r="B103">
        <v>2.0954000000000002</v>
      </c>
      <c r="C103">
        <v>6.5213000000000001</v>
      </c>
      <c r="D103">
        <f t="shared" si="2"/>
        <v>6.5125032000000003</v>
      </c>
      <c r="E103">
        <f t="shared" si="3"/>
        <v>68.473650000000006</v>
      </c>
    </row>
    <row r="104" spans="1:5">
      <c r="A104" s="2" t="s">
        <v>135</v>
      </c>
      <c r="B104">
        <v>0.70430000000000004</v>
      </c>
      <c r="C104">
        <v>6.8308999999999997</v>
      </c>
      <c r="D104">
        <f t="shared" si="2"/>
        <v>2.1889644000000001</v>
      </c>
      <c r="E104">
        <f t="shared" si="3"/>
        <v>71.72444999999999</v>
      </c>
    </row>
    <row r="105" spans="1:5">
      <c r="A105" s="2" t="s">
        <v>136</v>
      </c>
      <c r="B105">
        <v>1.0865</v>
      </c>
      <c r="C105">
        <v>6.9435000000000002</v>
      </c>
      <c r="D105">
        <f t="shared" si="2"/>
        <v>3.3768420000000003</v>
      </c>
      <c r="E105">
        <f t="shared" si="3"/>
        <v>72.906750000000002</v>
      </c>
    </row>
    <row r="106" spans="1:5">
      <c r="A106" s="2" t="s">
        <v>137</v>
      </c>
      <c r="B106">
        <v>1.1677</v>
      </c>
      <c r="C106">
        <v>6.4264999999999999</v>
      </c>
      <c r="D106">
        <f t="shared" si="2"/>
        <v>3.6292116000000001</v>
      </c>
      <c r="E106">
        <f t="shared" si="3"/>
        <v>67.478250000000003</v>
      </c>
    </row>
    <row r="107" spans="1:5">
      <c r="A107" s="2" t="s">
        <v>138</v>
      </c>
      <c r="B107">
        <v>0.10059999999999999</v>
      </c>
      <c r="C107">
        <v>7.5888</v>
      </c>
      <c r="D107">
        <f t="shared" si="2"/>
        <v>0.31266480000000002</v>
      </c>
      <c r="E107">
        <f t="shared" si="3"/>
        <v>79.682400000000001</v>
      </c>
    </row>
    <row r="108" spans="1:5">
      <c r="A108" s="2" t="s">
        <v>139</v>
      </c>
      <c r="B108">
        <v>6.7799999999999999E-2</v>
      </c>
      <c r="C108">
        <v>7.4282000000000004</v>
      </c>
      <c r="D108">
        <f t="shared" si="2"/>
        <v>0.2107224</v>
      </c>
      <c r="E108">
        <f t="shared" si="3"/>
        <v>77.996099999999998</v>
      </c>
    </row>
    <row r="109" spans="1:5">
      <c r="A109" s="2" t="s">
        <v>140</v>
      </c>
      <c r="B109">
        <v>7.0499999999999993E-2</v>
      </c>
      <c r="C109">
        <v>7.8836000000000004</v>
      </c>
      <c r="D109">
        <f t="shared" si="2"/>
        <v>0.21911399999999998</v>
      </c>
      <c r="E109">
        <f t="shared" si="3"/>
        <v>82.777799999999999</v>
      </c>
    </row>
    <row r="110" spans="1:5">
      <c r="A110" s="2" t="s">
        <v>141</v>
      </c>
      <c r="B110">
        <v>0.55430000000000001</v>
      </c>
      <c r="C110">
        <v>8.0068000000000001</v>
      </c>
      <c r="D110">
        <f t="shared" si="2"/>
        <v>1.7227644000000002</v>
      </c>
      <c r="E110">
        <f t="shared" si="3"/>
        <v>84.071399999999997</v>
      </c>
    </row>
    <row r="111" spans="1:5">
      <c r="A111" s="2" t="s">
        <v>142</v>
      </c>
      <c r="B111">
        <v>1.1301000000000001</v>
      </c>
      <c r="C111">
        <v>7.0629999999999997</v>
      </c>
      <c r="D111">
        <f t="shared" si="2"/>
        <v>3.5123508000000006</v>
      </c>
      <c r="E111">
        <f t="shared" si="3"/>
        <v>74.161500000000004</v>
      </c>
    </row>
    <row r="112" spans="1:5">
      <c r="A112" s="2" t="s">
        <v>143</v>
      </c>
      <c r="B112">
        <v>1.7499</v>
      </c>
      <c r="C112">
        <v>6.7864000000000004</v>
      </c>
      <c r="D112">
        <f t="shared" si="2"/>
        <v>5.4386891999999998</v>
      </c>
      <c r="E112">
        <f t="shared" si="3"/>
        <v>71.257200000000012</v>
      </c>
    </row>
    <row r="113" spans="1:5">
      <c r="A113" s="2" t="s">
        <v>144</v>
      </c>
      <c r="B113">
        <v>0.69369999999999998</v>
      </c>
      <c r="C113">
        <v>7.3400999999999996</v>
      </c>
      <c r="D113">
        <f t="shared" si="2"/>
        <v>2.1560196</v>
      </c>
      <c r="E113">
        <f t="shared" si="3"/>
        <v>77.07105</v>
      </c>
    </row>
    <row r="114" spans="1:5">
      <c r="A114" s="2" t="s">
        <v>145</v>
      </c>
      <c r="B114">
        <v>1.0098</v>
      </c>
      <c r="C114">
        <v>4.9256000000000002</v>
      </c>
      <c r="D114">
        <f t="shared" si="2"/>
        <v>3.1384584000000002</v>
      </c>
      <c r="E114">
        <f t="shared" si="3"/>
        <v>51.718800000000002</v>
      </c>
    </row>
    <row r="115" spans="1:5">
      <c r="A115" s="2" t="s">
        <v>146</v>
      </c>
      <c r="B115">
        <v>1.2465999999999999</v>
      </c>
      <c r="C115">
        <v>4.4499000000000004</v>
      </c>
      <c r="D115">
        <f t="shared" si="2"/>
        <v>3.8744328000000001</v>
      </c>
      <c r="E115">
        <f t="shared" si="3"/>
        <v>46.723950000000002</v>
      </c>
    </row>
    <row r="116" spans="1:5">
      <c r="A116" s="2" t="s">
        <v>147</v>
      </c>
      <c r="B116">
        <v>0.4849</v>
      </c>
      <c r="C116">
        <v>5.1486999999999998</v>
      </c>
      <c r="D116">
        <f t="shared" si="2"/>
        <v>1.5070692000000001</v>
      </c>
      <c r="E116">
        <f t="shared" si="3"/>
        <v>54.061349999999997</v>
      </c>
    </row>
    <row r="117" spans="1:5">
      <c r="A117" s="2" t="s">
        <v>148</v>
      </c>
      <c r="B117">
        <v>0.67649999999999999</v>
      </c>
      <c r="C117">
        <v>4.8087999999999997</v>
      </c>
      <c r="D117">
        <f t="shared" si="2"/>
        <v>2.1025619999999998</v>
      </c>
      <c r="E117">
        <f t="shared" si="3"/>
        <v>50.492399999999996</v>
      </c>
    </row>
    <row r="118" spans="1:5">
      <c r="A118" s="2" t="s">
        <v>149</v>
      </c>
      <c r="B118">
        <v>0.71330000000000005</v>
      </c>
      <c r="C118">
        <v>4.4583000000000004</v>
      </c>
      <c r="D118">
        <f t="shared" si="2"/>
        <v>2.2169364000000003</v>
      </c>
      <c r="E118">
        <f t="shared" si="3"/>
        <v>46.812150000000003</v>
      </c>
    </row>
    <row r="119" spans="1:5">
      <c r="A119" s="2" t="s">
        <v>150</v>
      </c>
      <c r="B119">
        <v>5.4300000000000001E-2</v>
      </c>
      <c r="C119">
        <v>5.0563000000000002</v>
      </c>
      <c r="D119">
        <f t="shared" si="2"/>
        <v>0.16876440000000001</v>
      </c>
      <c r="E119">
        <f t="shared" si="3"/>
        <v>53.091149999999999</v>
      </c>
    </row>
    <row r="120" spans="1:5">
      <c r="A120" s="2" t="s">
        <v>151</v>
      </c>
      <c r="B120">
        <v>4.1700000000000001E-2</v>
      </c>
      <c r="C120">
        <v>4.7866999999999997</v>
      </c>
      <c r="D120">
        <f t="shared" si="2"/>
        <v>0.12960360000000001</v>
      </c>
      <c r="E120">
        <f t="shared" si="3"/>
        <v>50.260349999999995</v>
      </c>
    </row>
    <row r="121" spans="1:5">
      <c r="A121" s="2" t="s">
        <v>152</v>
      </c>
      <c r="B121">
        <v>4.3200000000000002E-2</v>
      </c>
      <c r="C121">
        <v>4.9347000000000003</v>
      </c>
      <c r="D121">
        <f t="shared" si="2"/>
        <v>0.13426560000000001</v>
      </c>
      <c r="E121">
        <f t="shared" si="3"/>
        <v>51.814350000000005</v>
      </c>
    </row>
    <row r="122" spans="1:5">
      <c r="A122" s="2" t="s">
        <v>153</v>
      </c>
      <c r="B122">
        <v>0.3664</v>
      </c>
      <c r="C122">
        <v>5.1661999999999999</v>
      </c>
      <c r="D122">
        <f t="shared" si="2"/>
        <v>1.1387712000000001</v>
      </c>
      <c r="E122">
        <f t="shared" si="3"/>
        <v>54.245100000000001</v>
      </c>
    </row>
    <row r="123" spans="1:5">
      <c r="A123" s="2" t="s">
        <v>154</v>
      </c>
      <c r="B123">
        <v>0.75449999999999995</v>
      </c>
      <c r="C123">
        <v>4.6540999999999997</v>
      </c>
      <c r="D123">
        <f t="shared" si="2"/>
        <v>2.344986</v>
      </c>
      <c r="E123">
        <f t="shared" si="3"/>
        <v>48.868049999999997</v>
      </c>
    </row>
    <row r="124" spans="1:5">
      <c r="A124" s="2" t="s">
        <v>155</v>
      </c>
      <c r="B124">
        <v>1.1076999999999999</v>
      </c>
      <c r="C124">
        <v>4.3029000000000002</v>
      </c>
      <c r="D124">
        <f t="shared" si="2"/>
        <v>3.4427315999999997</v>
      </c>
      <c r="E124">
        <f t="shared" si="3"/>
        <v>45.18045</v>
      </c>
    </row>
    <row r="125" spans="1:5">
      <c r="A125" s="2" t="s">
        <v>156</v>
      </c>
      <c r="B125">
        <v>0.47149999999999997</v>
      </c>
      <c r="C125">
        <v>4.9378000000000002</v>
      </c>
      <c r="D125">
        <f t="shared" si="2"/>
        <v>1.465422</v>
      </c>
      <c r="E125">
        <f t="shared" si="3"/>
        <v>51.846900000000005</v>
      </c>
    </row>
    <row r="126" spans="1:5">
      <c r="A126" s="2" t="s">
        <v>157</v>
      </c>
      <c r="B126">
        <v>0.87709999999999999</v>
      </c>
      <c r="C126">
        <v>4.3404999999999996</v>
      </c>
      <c r="D126">
        <f t="shared" si="2"/>
        <v>2.7260268000000001</v>
      </c>
      <c r="E126">
        <f t="shared" si="3"/>
        <v>45.575249999999997</v>
      </c>
    </row>
    <row r="127" spans="1:5">
      <c r="A127" s="2" t="s">
        <v>158</v>
      </c>
      <c r="B127">
        <v>1.2714000000000001</v>
      </c>
      <c r="C127">
        <v>4.0644999999999998</v>
      </c>
      <c r="D127">
        <f t="shared" si="2"/>
        <v>3.9515112000000006</v>
      </c>
      <c r="E127">
        <f t="shared" si="3"/>
        <v>42.677250000000001</v>
      </c>
    </row>
    <row r="128" spans="1:5">
      <c r="A128" s="2" t="s">
        <v>159</v>
      </c>
      <c r="B128">
        <v>0.5615</v>
      </c>
      <c r="C128">
        <v>4.3925000000000001</v>
      </c>
      <c r="D128">
        <f t="shared" si="2"/>
        <v>1.745142</v>
      </c>
      <c r="E128">
        <f t="shared" si="3"/>
        <v>46.121250000000003</v>
      </c>
    </row>
    <row r="129" spans="1:5">
      <c r="A129" s="2" t="s">
        <v>160</v>
      </c>
      <c r="B129">
        <v>1.0071000000000001</v>
      </c>
      <c r="C129">
        <v>4.3982000000000001</v>
      </c>
      <c r="D129">
        <f t="shared" si="2"/>
        <v>3.1300668000000003</v>
      </c>
      <c r="E129">
        <f t="shared" si="3"/>
        <v>46.181100000000001</v>
      </c>
    </row>
    <row r="130" spans="1:5">
      <c r="A130" s="2" t="s">
        <v>161</v>
      </c>
      <c r="B130">
        <v>1.1769000000000001</v>
      </c>
      <c r="C130">
        <v>4.0749000000000004</v>
      </c>
      <c r="D130">
        <f t="shared" si="2"/>
        <v>3.6578052000000003</v>
      </c>
      <c r="E130">
        <f t="shared" si="3"/>
        <v>42.786450000000002</v>
      </c>
    </row>
    <row r="131" spans="1:5">
      <c r="A131" s="2" t="s">
        <v>162</v>
      </c>
      <c r="B131">
        <v>5.4199999999999998E-2</v>
      </c>
      <c r="C131">
        <v>5.0297999999999998</v>
      </c>
      <c r="D131">
        <f t="shared" ref="D131:D194" si="4">B131*3.108</f>
        <v>0.16845360000000001</v>
      </c>
      <c r="E131">
        <f t="shared" ref="E131:E194" si="5">C131*10.5</f>
        <v>52.812899999999999</v>
      </c>
    </row>
    <row r="132" spans="1:5">
      <c r="A132" s="2" t="s">
        <v>163</v>
      </c>
      <c r="B132">
        <v>5.6300000000000003E-2</v>
      </c>
      <c r="C132">
        <v>5.0812999999999997</v>
      </c>
      <c r="D132">
        <f t="shared" si="4"/>
        <v>0.17498040000000001</v>
      </c>
      <c r="E132">
        <f t="shared" si="5"/>
        <v>53.353649999999995</v>
      </c>
    </row>
    <row r="133" spans="1:5">
      <c r="A133" s="2" t="s">
        <v>164</v>
      </c>
      <c r="B133">
        <v>5.91E-2</v>
      </c>
      <c r="C133">
        <v>5.0002000000000004</v>
      </c>
      <c r="D133">
        <f t="shared" si="4"/>
        <v>0.18368280000000001</v>
      </c>
      <c r="E133">
        <f t="shared" si="5"/>
        <v>52.502100000000006</v>
      </c>
    </row>
    <row r="134" spans="1:5">
      <c r="A134" s="2" t="s">
        <v>165</v>
      </c>
      <c r="B134">
        <v>0.33050000000000002</v>
      </c>
      <c r="C134">
        <v>4.9504000000000001</v>
      </c>
      <c r="D134">
        <f t="shared" si="4"/>
        <v>1.0271940000000002</v>
      </c>
      <c r="E134">
        <f t="shared" si="5"/>
        <v>51.979199999999999</v>
      </c>
    </row>
    <row r="135" spans="1:5">
      <c r="A135" s="2" t="s">
        <v>166</v>
      </c>
      <c r="B135">
        <v>0.73350000000000004</v>
      </c>
      <c r="C135">
        <v>4.8878000000000004</v>
      </c>
      <c r="D135">
        <f t="shared" si="4"/>
        <v>2.2797180000000004</v>
      </c>
      <c r="E135">
        <f t="shared" si="5"/>
        <v>51.321900000000007</v>
      </c>
    </row>
    <row r="136" spans="1:5">
      <c r="A136" s="2" t="s">
        <v>167</v>
      </c>
      <c r="B136">
        <v>1.0911999999999999</v>
      </c>
      <c r="C136">
        <v>4.4477000000000002</v>
      </c>
      <c r="D136">
        <f t="shared" si="4"/>
        <v>3.3914496000000001</v>
      </c>
      <c r="E136">
        <f t="shared" si="5"/>
        <v>46.700850000000003</v>
      </c>
    </row>
    <row r="137" spans="1:5">
      <c r="A137" s="2" t="s">
        <v>168</v>
      </c>
      <c r="B137">
        <v>0.46529999999999999</v>
      </c>
      <c r="C137">
        <v>5.0987999999999998</v>
      </c>
      <c r="D137">
        <f t="shared" si="4"/>
        <v>1.4461524000000001</v>
      </c>
      <c r="E137">
        <f t="shared" si="5"/>
        <v>53.537399999999998</v>
      </c>
    </row>
    <row r="138" spans="1:5">
      <c r="A138" s="2" t="s">
        <v>169</v>
      </c>
      <c r="B138">
        <v>0.85219999999999996</v>
      </c>
      <c r="C138">
        <v>4.6238999999999999</v>
      </c>
      <c r="D138">
        <f t="shared" si="4"/>
        <v>2.6486375999999998</v>
      </c>
      <c r="E138">
        <f t="shared" si="5"/>
        <v>48.55095</v>
      </c>
    </row>
    <row r="139" spans="1:5">
      <c r="A139" s="2" t="s">
        <v>170</v>
      </c>
      <c r="B139">
        <v>1.2314000000000001</v>
      </c>
      <c r="C139">
        <v>4.3238000000000003</v>
      </c>
      <c r="D139">
        <f t="shared" si="4"/>
        <v>3.8271912000000001</v>
      </c>
      <c r="E139">
        <f t="shared" si="5"/>
        <v>45.399900000000002</v>
      </c>
    </row>
    <row r="140" spans="1:5">
      <c r="A140" s="2" t="s">
        <v>171</v>
      </c>
      <c r="B140">
        <v>0.61460000000000004</v>
      </c>
      <c r="C140">
        <v>4.6349999999999998</v>
      </c>
      <c r="D140">
        <f t="shared" si="4"/>
        <v>1.9101768000000001</v>
      </c>
      <c r="E140">
        <f t="shared" si="5"/>
        <v>48.667499999999997</v>
      </c>
    </row>
    <row r="141" spans="1:5">
      <c r="A141" s="2" t="s">
        <v>172</v>
      </c>
      <c r="B141">
        <v>1.0430999999999999</v>
      </c>
      <c r="C141">
        <v>4.2058</v>
      </c>
      <c r="D141">
        <f t="shared" si="4"/>
        <v>3.2419547999999998</v>
      </c>
      <c r="E141">
        <f t="shared" si="5"/>
        <v>44.160899999999998</v>
      </c>
    </row>
    <row r="142" spans="1:5">
      <c r="A142" s="2" t="s">
        <v>173</v>
      </c>
      <c r="B142">
        <v>1.292</v>
      </c>
      <c r="C142">
        <v>3.9051</v>
      </c>
      <c r="D142">
        <f t="shared" si="4"/>
        <v>4.015536</v>
      </c>
      <c r="E142">
        <f t="shared" si="5"/>
        <v>41.003549999999997</v>
      </c>
    </row>
    <row r="143" spans="1:5">
      <c r="A143" s="2" t="s">
        <v>174</v>
      </c>
      <c r="B143">
        <v>0.25929999999999997</v>
      </c>
      <c r="C143">
        <v>4.9412000000000003</v>
      </c>
      <c r="D143">
        <f t="shared" si="4"/>
        <v>0.80590439999999997</v>
      </c>
      <c r="E143">
        <f t="shared" si="5"/>
        <v>51.882600000000004</v>
      </c>
    </row>
    <row r="144" spans="1:5">
      <c r="A144" s="2" t="s">
        <v>175</v>
      </c>
      <c r="B144">
        <v>0.2243</v>
      </c>
      <c r="C144">
        <v>4.6528999999999998</v>
      </c>
      <c r="D144">
        <f t="shared" si="4"/>
        <v>0.69712439999999998</v>
      </c>
      <c r="E144">
        <f t="shared" si="5"/>
        <v>48.855449999999998</v>
      </c>
    </row>
    <row r="145" spans="1:5">
      <c r="A145" s="2" t="s">
        <v>176</v>
      </c>
      <c r="B145">
        <v>0.20499999999999999</v>
      </c>
      <c r="C145">
        <v>5.6604000000000001</v>
      </c>
      <c r="D145">
        <f t="shared" si="4"/>
        <v>0.63713999999999993</v>
      </c>
      <c r="E145">
        <f t="shared" si="5"/>
        <v>59.434200000000004</v>
      </c>
    </row>
    <row r="146" spans="1:5">
      <c r="A146" s="2" t="s">
        <v>177</v>
      </c>
      <c r="B146">
        <v>4.3930999999999996</v>
      </c>
      <c r="C146">
        <v>35.4024</v>
      </c>
      <c r="D146">
        <f t="shared" si="4"/>
        <v>13.6537548</v>
      </c>
      <c r="E146">
        <f t="shared" si="5"/>
        <v>371.72519999999997</v>
      </c>
    </row>
    <row r="147" spans="1:5">
      <c r="A147" s="2" t="s">
        <v>178</v>
      </c>
      <c r="B147">
        <v>8.0456000000000003</v>
      </c>
      <c r="C147">
        <v>34.073999999999998</v>
      </c>
      <c r="D147">
        <f t="shared" si="4"/>
        <v>25.005724800000003</v>
      </c>
      <c r="E147">
        <f t="shared" si="5"/>
        <v>357.77699999999999</v>
      </c>
    </row>
    <row r="148" spans="1:5">
      <c r="A148" s="2" t="s">
        <v>179</v>
      </c>
      <c r="B148">
        <v>10.751799999999999</v>
      </c>
      <c r="C148">
        <v>30.304200000000002</v>
      </c>
      <c r="D148">
        <f t="shared" si="4"/>
        <v>33.416594400000001</v>
      </c>
      <c r="E148">
        <f t="shared" si="5"/>
        <v>318.19409999999999</v>
      </c>
    </row>
    <row r="149" spans="1:5">
      <c r="A149" s="2" t="s">
        <v>180</v>
      </c>
      <c r="B149">
        <v>4.1462000000000003</v>
      </c>
      <c r="C149">
        <v>30.741800000000001</v>
      </c>
      <c r="D149">
        <f t="shared" si="4"/>
        <v>12.886389600000001</v>
      </c>
      <c r="E149">
        <f t="shared" si="5"/>
        <v>322.78890000000001</v>
      </c>
    </row>
    <row r="150" spans="1:5">
      <c r="A150" s="2" t="s">
        <v>181</v>
      </c>
      <c r="B150">
        <v>8.0502000000000002</v>
      </c>
      <c r="C150">
        <v>32.406100000000002</v>
      </c>
      <c r="D150">
        <f t="shared" si="4"/>
        <v>25.020021600000003</v>
      </c>
      <c r="E150">
        <f t="shared" si="5"/>
        <v>340.26405</v>
      </c>
    </row>
    <row r="151" spans="1:5">
      <c r="A151" s="2" t="s">
        <v>182</v>
      </c>
      <c r="B151">
        <v>10.840400000000001</v>
      </c>
      <c r="C151">
        <v>30.618400000000001</v>
      </c>
      <c r="D151">
        <f t="shared" si="4"/>
        <v>33.691963200000004</v>
      </c>
      <c r="E151">
        <f t="shared" si="5"/>
        <v>321.4932</v>
      </c>
    </row>
    <row r="152" spans="1:5">
      <c r="A152" s="2" t="s">
        <v>183</v>
      </c>
      <c r="B152">
        <v>3.5276999999999998</v>
      </c>
      <c r="C152">
        <v>35.421300000000002</v>
      </c>
      <c r="D152">
        <f t="shared" si="4"/>
        <v>10.9640916</v>
      </c>
      <c r="E152">
        <f t="shared" si="5"/>
        <v>371.92365000000001</v>
      </c>
    </row>
    <row r="153" spans="1:5">
      <c r="A153" s="2" t="s">
        <v>184</v>
      </c>
      <c r="B153">
        <v>4.9545000000000003</v>
      </c>
      <c r="C153">
        <v>34.779899999999998</v>
      </c>
      <c r="D153">
        <f t="shared" si="4"/>
        <v>15.398586000000002</v>
      </c>
      <c r="E153">
        <f t="shared" si="5"/>
        <v>365.18894999999998</v>
      </c>
    </row>
    <row r="154" spans="1:5">
      <c r="A154" s="2" t="s">
        <v>185</v>
      </c>
      <c r="B154">
        <v>5.1231999999999998</v>
      </c>
      <c r="C154">
        <v>33.524999999999999</v>
      </c>
      <c r="D154">
        <f t="shared" si="4"/>
        <v>15.9229056</v>
      </c>
      <c r="E154">
        <f t="shared" si="5"/>
        <v>352.01249999999999</v>
      </c>
    </row>
    <row r="155" spans="1:5">
      <c r="A155" s="2" t="s">
        <v>186</v>
      </c>
      <c r="B155">
        <v>0.31159999999999999</v>
      </c>
      <c r="C155">
        <v>32.5777</v>
      </c>
      <c r="D155">
        <f t="shared" si="4"/>
        <v>0.9684528</v>
      </c>
      <c r="E155">
        <f t="shared" si="5"/>
        <v>342.06585000000001</v>
      </c>
    </row>
    <row r="156" spans="1:5">
      <c r="A156" s="2" t="s">
        <v>187</v>
      </c>
      <c r="B156">
        <v>0.3599</v>
      </c>
      <c r="C156">
        <v>36.926200000000001</v>
      </c>
      <c r="D156">
        <f t="shared" si="4"/>
        <v>1.1185692</v>
      </c>
      <c r="E156">
        <f t="shared" si="5"/>
        <v>387.7251</v>
      </c>
    </row>
    <row r="157" spans="1:5">
      <c r="A157" s="2" t="s">
        <v>188</v>
      </c>
      <c r="B157">
        <v>0.29970000000000002</v>
      </c>
      <c r="C157">
        <v>36.2498</v>
      </c>
      <c r="D157">
        <f t="shared" si="4"/>
        <v>0.93146760000000006</v>
      </c>
      <c r="E157">
        <f t="shared" si="5"/>
        <v>380.62290000000002</v>
      </c>
    </row>
    <row r="158" spans="1:5">
      <c r="A158" s="2" t="s">
        <v>189</v>
      </c>
      <c r="B158">
        <v>4.3304999999999998</v>
      </c>
      <c r="C158">
        <v>35.353299999999997</v>
      </c>
      <c r="D158">
        <f t="shared" si="4"/>
        <v>13.459194</v>
      </c>
      <c r="E158">
        <f t="shared" si="5"/>
        <v>371.20964999999995</v>
      </c>
    </row>
    <row r="159" spans="1:5">
      <c r="A159" s="2" t="s">
        <v>190</v>
      </c>
      <c r="B159">
        <v>8.02</v>
      </c>
      <c r="C159">
        <v>33.988399999999999</v>
      </c>
      <c r="D159">
        <f t="shared" si="4"/>
        <v>24.926159999999999</v>
      </c>
      <c r="E159">
        <f t="shared" si="5"/>
        <v>356.87819999999999</v>
      </c>
    </row>
    <row r="160" spans="1:5">
      <c r="A160" s="2" t="s">
        <v>191</v>
      </c>
      <c r="B160">
        <v>11.045299999999999</v>
      </c>
      <c r="C160">
        <v>31.238700000000001</v>
      </c>
      <c r="D160">
        <f t="shared" si="4"/>
        <v>34.328792399999998</v>
      </c>
      <c r="E160">
        <f t="shared" si="5"/>
        <v>328.00635</v>
      </c>
    </row>
    <row r="161" spans="1:5">
      <c r="A161" s="2" t="s">
        <v>192</v>
      </c>
      <c r="B161">
        <v>4.7813999999999997</v>
      </c>
      <c r="C161">
        <v>35.535200000000003</v>
      </c>
      <c r="D161">
        <f t="shared" si="4"/>
        <v>14.8605912</v>
      </c>
      <c r="E161">
        <f t="shared" si="5"/>
        <v>373.11960000000005</v>
      </c>
    </row>
    <row r="162" spans="1:5">
      <c r="A162" s="2" t="s">
        <v>193</v>
      </c>
      <c r="B162">
        <v>8.4693000000000005</v>
      </c>
      <c r="C162">
        <v>33.870100000000001</v>
      </c>
      <c r="D162">
        <f t="shared" si="4"/>
        <v>26.322584400000004</v>
      </c>
      <c r="E162">
        <f t="shared" si="5"/>
        <v>355.63605000000001</v>
      </c>
    </row>
    <row r="163" spans="1:5">
      <c r="A163" s="2" t="s">
        <v>194</v>
      </c>
      <c r="B163">
        <v>11.328099999999999</v>
      </c>
      <c r="C163">
        <v>31.7364</v>
      </c>
      <c r="D163">
        <f t="shared" si="4"/>
        <v>35.207734799999997</v>
      </c>
      <c r="E163">
        <f t="shared" si="5"/>
        <v>333.23219999999998</v>
      </c>
    </row>
    <row r="164" spans="1:5">
      <c r="A164" s="2" t="s">
        <v>195</v>
      </c>
      <c r="B164">
        <v>4.3289</v>
      </c>
      <c r="C164">
        <v>37.794600000000003</v>
      </c>
      <c r="D164">
        <f t="shared" si="4"/>
        <v>13.454221200000001</v>
      </c>
      <c r="E164">
        <f t="shared" si="5"/>
        <v>396.8433</v>
      </c>
    </row>
    <row r="165" spans="1:5">
      <c r="A165" s="2" t="s">
        <v>196</v>
      </c>
      <c r="B165">
        <v>6.8346999999999998</v>
      </c>
      <c r="C165">
        <v>36.506300000000003</v>
      </c>
      <c r="D165">
        <f t="shared" si="4"/>
        <v>21.242247599999999</v>
      </c>
      <c r="E165">
        <f t="shared" si="5"/>
        <v>383.31615000000005</v>
      </c>
    </row>
    <row r="166" spans="1:5">
      <c r="A166" s="2" t="s">
        <v>197</v>
      </c>
      <c r="B166">
        <v>8.3975000000000009</v>
      </c>
      <c r="C166">
        <v>34.689</v>
      </c>
      <c r="D166">
        <f t="shared" si="4"/>
        <v>26.099430000000002</v>
      </c>
      <c r="E166">
        <f t="shared" si="5"/>
        <v>364.23450000000003</v>
      </c>
    </row>
    <row r="167" spans="1:5">
      <c r="A167" s="2" t="s">
        <v>198</v>
      </c>
      <c r="B167">
        <v>0.45440000000000003</v>
      </c>
      <c r="C167">
        <v>40.371000000000002</v>
      </c>
      <c r="D167">
        <f t="shared" si="4"/>
        <v>1.4122752000000001</v>
      </c>
      <c r="E167">
        <f t="shared" si="5"/>
        <v>423.89550000000003</v>
      </c>
    </row>
    <row r="168" spans="1:5">
      <c r="A168" s="2" t="s">
        <v>199</v>
      </c>
      <c r="B168">
        <v>0.4471</v>
      </c>
      <c r="C168">
        <v>40.500799999999998</v>
      </c>
      <c r="D168">
        <f t="shared" si="4"/>
        <v>1.3895868</v>
      </c>
      <c r="E168">
        <f t="shared" si="5"/>
        <v>425.25839999999999</v>
      </c>
    </row>
    <row r="169" spans="1:5">
      <c r="A169" s="2" t="s">
        <v>200</v>
      </c>
      <c r="B169">
        <v>0.36969999999999997</v>
      </c>
      <c r="C169">
        <v>39.319699999999997</v>
      </c>
      <c r="D169">
        <f t="shared" si="4"/>
        <v>1.1490275999999999</v>
      </c>
      <c r="E169">
        <f t="shared" si="5"/>
        <v>412.85684999999995</v>
      </c>
    </row>
    <row r="170" spans="1:5">
      <c r="A170" s="2" t="s">
        <v>201</v>
      </c>
      <c r="B170">
        <v>4.84</v>
      </c>
      <c r="C170">
        <v>37.509700000000002</v>
      </c>
      <c r="D170">
        <f t="shared" si="4"/>
        <v>15.042719999999999</v>
      </c>
      <c r="E170">
        <f t="shared" si="5"/>
        <v>393.85185000000001</v>
      </c>
    </row>
    <row r="171" spans="1:5">
      <c r="A171" s="2" t="s">
        <v>202</v>
      </c>
      <c r="B171">
        <v>8.9018999999999995</v>
      </c>
      <c r="C171">
        <v>35.696800000000003</v>
      </c>
      <c r="D171">
        <f t="shared" si="4"/>
        <v>27.667105199999998</v>
      </c>
      <c r="E171">
        <f t="shared" si="5"/>
        <v>374.81640000000004</v>
      </c>
    </row>
    <row r="172" spans="1:5">
      <c r="A172" s="2" t="s">
        <v>203</v>
      </c>
      <c r="B172">
        <v>11.7029</v>
      </c>
      <c r="C172">
        <v>31.112100000000002</v>
      </c>
      <c r="D172">
        <f t="shared" si="4"/>
        <v>36.372613200000004</v>
      </c>
      <c r="E172">
        <f t="shared" si="5"/>
        <v>326.67705000000001</v>
      </c>
    </row>
    <row r="173" spans="1:5">
      <c r="A173" s="2" t="s">
        <v>204</v>
      </c>
      <c r="B173">
        <v>5.1694000000000004</v>
      </c>
      <c r="C173">
        <v>37.634500000000003</v>
      </c>
      <c r="D173">
        <f t="shared" si="4"/>
        <v>16.066495200000002</v>
      </c>
      <c r="E173">
        <f t="shared" si="5"/>
        <v>395.16225000000003</v>
      </c>
    </row>
    <row r="174" spans="1:5">
      <c r="A174" s="2" t="s">
        <v>205</v>
      </c>
      <c r="B174">
        <v>9.2902000000000005</v>
      </c>
      <c r="C174">
        <v>35.473100000000002</v>
      </c>
      <c r="D174">
        <f t="shared" si="4"/>
        <v>28.873941600000002</v>
      </c>
      <c r="E174">
        <f t="shared" si="5"/>
        <v>372.46755000000002</v>
      </c>
    </row>
    <row r="175" spans="1:5">
      <c r="A175" s="2" t="s">
        <v>206</v>
      </c>
      <c r="B175">
        <v>12.2288</v>
      </c>
      <c r="C175">
        <v>32.537700000000001</v>
      </c>
      <c r="D175">
        <f t="shared" si="4"/>
        <v>38.007110400000002</v>
      </c>
      <c r="E175">
        <f t="shared" si="5"/>
        <v>341.64585</v>
      </c>
    </row>
    <row r="176" spans="1:5">
      <c r="A176" s="2" t="s">
        <v>207</v>
      </c>
      <c r="B176">
        <v>3.8681000000000001</v>
      </c>
      <c r="C176">
        <v>38.946100000000001</v>
      </c>
      <c r="D176">
        <f t="shared" si="4"/>
        <v>12.022054800000001</v>
      </c>
      <c r="E176">
        <f t="shared" si="5"/>
        <v>408.93405000000001</v>
      </c>
    </row>
    <row r="177" spans="1:5">
      <c r="A177" s="2" t="s">
        <v>208</v>
      </c>
      <c r="B177">
        <v>5.6302000000000003</v>
      </c>
      <c r="C177">
        <v>37.665700000000001</v>
      </c>
      <c r="D177">
        <f t="shared" si="4"/>
        <v>17.498661600000002</v>
      </c>
      <c r="E177">
        <f t="shared" si="5"/>
        <v>395.48984999999999</v>
      </c>
    </row>
    <row r="178" spans="1:5">
      <c r="A178" s="2" t="s">
        <v>209</v>
      </c>
      <c r="B178">
        <v>6.0105000000000004</v>
      </c>
      <c r="C178">
        <v>37.134300000000003</v>
      </c>
      <c r="D178">
        <f t="shared" si="4"/>
        <v>18.680634000000001</v>
      </c>
      <c r="E178">
        <f t="shared" si="5"/>
        <v>389.91015000000004</v>
      </c>
    </row>
    <row r="179" spans="1:5">
      <c r="A179" s="2" t="s">
        <v>210</v>
      </c>
      <c r="B179">
        <v>0.36409999999999998</v>
      </c>
      <c r="C179">
        <v>41.026600000000002</v>
      </c>
      <c r="D179">
        <f t="shared" si="4"/>
        <v>1.1316227999999999</v>
      </c>
      <c r="E179">
        <f t="shared" si="5"/>
        <v>430.77930000000003</v>
      </c>
    </row>
    <row r="180" spans="1:5">
      <c r="A180" s="2" t="s">
        <v>211</v>
      </c>
      <c r="B180">
        <v>0.36299999999999999</v>
      </c>
      <c r="C180">
        <v>41.209000000000003</v>
      </c>
      <c r="D180">
        <f t="shared" si="4"/>
        <v>1.128204</v>
      </c>
      <c r="E180">
        <f t="shared" si="5"/>
        <v>432.69450000000006</v>
      </c>
    </row>
    <row r="181" spans="1:5">
      <c r="A181" s="2" t="s">
        <v>212</v>
      </c>
      <c r="B181">
        <v>0.30520000000000003</v>
      </c>
      <c r="C181">
        <v>40.14</v>
      </c>
      <c r="D181">
        <f t="shared" si="4"/>
        <v>0.94856160000000012</v>
      </c>
      <c r="E181">
        <f t="shared" si="5"/>
        <v>421.47</v>
      </c>
    </row>
    <row r="182" spans="1:5">
      <c r="A182" s="2" t="s">
        <v>213</v>
      </c>
      <c r="B182">
        <v>4.6467000000000001</v>
      </c>
      <c r="C182">
        <v>38.3917</v>
      </c>
      <c r="D182">
        <f t="shared" si="4"/>
        <v>14.4419436</v>
      </c>
      <c r="E182">
        <f t="shared" si="5"/>
        <v>403.11284999999998</v>
      </c>
    </row>
    <row r="183" spans="1:5">
      <c r="A183" s="2" t="s">
        <v>214</v>
      </c>
      <c r="B183">
        <v>8.7324999999999999</v>
      </c>
      <c r="C183">
        <v>36.796100000000003</v>
      </c>
      <c r="D183">
        <f t="shared" si="4"/>
        <v>27.140610000000002</v>
      </c>
      <c r="E183">
        <f t="shared" si="5"/>
        <v>386.35905000000002</v>
      </c>
    </row>
    <row r="184" spans="1:5">
      <c r="A184" s="2" t="s">
        <v>215</v>
      </c>
      <c r="B184">
        <v>12.128299999999999</v>
      </c>
      <c r="C184">
        <v>33.741500000000002</v>
      </c>
      <c r="D184">
        <f t="shared" si="4"/>
        <v>37.694756400000003</v>
      </c>
      <c r="E184">
        <f t="shared" si="5"/>
        <v>354.28575000000001</v>
      </c>
    </row>
    <row r="185" spans="1:5">
      <c r="A185" s="2" t="s">
        <v>216</v>
      </c>
      <c r="B185">
        <v>5.0617999999999999</v>
      </c>
      <c r="C185">
        <v>38.2864</v>
      </c>
      <c r="D185">
        <f t="shared" si="4"/>
        <v>15.7320744</v>
      </c>
      <c r="E185">
        <f t="shared" si="5"/>
        <v>402.00720000000001</v>
      </c>
    </row>
    <row r="186" spans="1:5">
      <c r="A186" s="2" t="s">
        <v>217</v>
      </c>
      <c r="B186">
        <v>9.0318000000000005</v>
      </c>
      <c r="C186">
        <v>36.026499999999999</v>
      </c>
      <c r="D186">
        <f t="shared" si="4"/>
        <v>28.070834400000003</v>
      </c>
      <c r="E186">
        <f t="shared" si="5"/>
        <v>378.27824999999996</v>
      </c>
    </row>
    <row r="187" spans="1:5">
      <c r="A187" s="2" t="s">
        <v>218</v>
      </c>
      <c r="B187">
        <v>11.843</v>
      </c>
      <c r="C187">
        <v>33.0822</v>
      </c>
      <c r="D187">
        <f t="shared" si="4"/>
        <v>36.808044000000002</v>
      </c>
      <c r="E187">
        <f t="shared" si="5"/>
        <v>347.36310000000003</v>
      </c>
    </row>
    <row r="188" spans="1:5">
      <c r="A188" s="2" t="s">
        <v>219</v>
      </c>
      <c r="B188">
        <v>3.5819000000000001</v>
      </c>
      <c r="C188">
        <v>38.406999999999996</v>
      </c>
      <c r="D188">
        <f t="shared" si="4"/>
        <v>11.132545200000001</v>
      </c>
      <c r="E188">
        <f t="shared" si="5"/>
        <v>403.27349999999996</v>
      </c>
    </row>
    <row r="189" spans="1:5">
      <c r="A189" s="2" t="s">
        <v>220</v>
      </c>
      <c r="B189">
        <v>4.9394999999999998</v>
      </c>
      <c r="C189">
        <v>37.573799999999999</v>
      </c>
      <c r="D189">
        <f t="shared" si="4"/>
        <v>15.351965999999999</v>
      </c>
      <c r="E189">
        <f t="shared" si="5"/>
        <v>394.5249</v>
      </c>
    </row>
    <row r="190" spans="1:5">
      <c r="A190" s="2" t="s">
        <v>221</v>
      </c>
      <c r="B190">
        <v>5.3353000000000002</v>
      </c>
      <c r="C190">
        <v>35.957999999999998</v>
      </c>
      <c r="D190">
        <f t="shared" si="4"/>
        <v>16.5821124</v>
      </c>
      <c r="E190">
        <f t="shared" si="5"/>
        <v>377.55899999999997</v>
      </c>
    </row>
    <row r="191" spans="1:5">
      <c r="A191" s="2" t="s">
        <v>222</v>
      </c>
      <c r="B191">
        <v>0.33639999999999998</v>
      </c>
      <c r="C191">
        <v>39.375500000000002</v>
      </c>
      <c r="D191">
        <f t="shared" si="4"/>
        <v>1.0455311999999999</v>
      </c>
      <c r="E191">
        <f t="shared" si="5"/>
        <v>413.44275000000005</v>
      </c>
    </row>
    <row r="192" spans="1:5">
      <c r="A192" s="2" t="s">
        <v>223</v>
      </c>
      <c r="B192">
        <v>0.34720000000000001</v>
      </c>
      <c r="C192">
        <v>40.2224</v>
      </c>
      <c r="D192">
        <f t="shared" si="4"/>
        <v>1.0790976000000001</v>
      </c>
      <c r="E192">
        <f t="shared" si="5"/>
        <v>422.33519999999999</v>
      </c>
    </row>
    <row r="193" spans="1:5">
      <c r="A193" s="2" t="s">
        <v>224</v>
      </c>
      <c r="B193">
        <v>0.28620000000000001</v>
      </c>
      <c r="C193">
        <v>37.234400000000001</v>
      </c>
      <c r="D193">
        <f t="shared" si="4"/>
        <v>0.88950960000000001</v>
      </c>
      <c r="E193">
        <f t="shared" si="5"/>
        <v>390.96120000000002</v>
      </c>
    </row>
    <row r="194" spans="1:5">
      <c r="A194" s="2" t="s">
        <v>225</v>
      </c>
      <c r="B194">
        <v>4.6536</v>
      </c>
      <c r="C194">
        <v>37.1569</v>
      </c>
      <c r="D194">
        <f t="shared" si="4"/>
        <v>14.463388800000001</v>
      </c>
      <c r="E194">
        <f t="shared" si="5"/>
        <v>390.14744999999999</v>
      </c>
    </row>
    <row r="195" spans="1:5">
      <c r="A195" s="2" t="s">
        <v>226</v>
      </c>
      <c r="B195">
        <v>8.6974999999999998</v>
      </c>
      <c r="C195">
        <v>35.212200000000003</v>
      </c>
      <c r="D195">
        <f t="shared" ref="D195:D258" si="6">B195*3.108</f>
        <v>27.031829999999999</v>
      </c>
      <c r="E195">
        <f t="shared" ref="E195:E258" si="7">C195*10.5</f>
        <v>369.72810000000004</v>
      </c>
    </row>
    <row r="196" spans="1:5">
      <c r="A196" s="2" t="s">
        <v>227</v>
      </c>
      <c r="B196">
        <v>12.1358</v>
      </c>
      <c r="C196">
        <v>32.574599999999997</v>
      </c>
      <c r="D196">
        <f t="shared" si="6"/>
        <v>37.718066399999998</v>
      </c>
      <c r="E196">
        <f t="shared" si="7"/>
        <v>342.03329999999994</v>
      </c>
    </row>
    <row r="197" spans="1:5">
      <c r="A197" s="2" t="s">
        <v>228</v>
      </c>
      <c r="B197">
        <v>5.0960999999999999</v>
      </c>
      <c r="C197">
        <v>36.754300000000001</v>
      </c>
      <c r="D197">
        <f t="shared" si="6"/>
        <v>15.8386788</v>
      </c>
      <c r="E197">
        <f t="shared" si="7"/>
        <v>385.92015000000004</v>
      </c>
    </row>
    <row r="198" spans="1:5">
      <c r="A198" s="2" t="s">
        <v>229</v>
      </c>
      <c r="B198">
        <v>9.0264000000000006</v>
      </c>
      <c r="C198">
        <v>34.407800000000002</v>
      </c>
      <c r="D198">
        <f t="shared" si="6"/>
        <v>28.054051200000004</v>
      </c>
      <c r="E198">
        <f t="shared" si="7"/>
        <v>361.28190000000001</v>
      </c>
    </row>
    <row r="199" spans="1:5">
      <c r="A199" s="2" t="s">
        <v>230</v>
      </c>
      <c r="B199">
        <v>11.682700000000001</v>
      </c>
      <c r="C199">
        <v>31.106999999999999</v>
      </c>
      <c r="D199">
        <f t="shared" si="6"/>
        <v>36.309831600000003</v>
      </c>
      <c r="E199">
        <f t="shared" si="7"/>
        <v>326.62349999999998</v>
      </c>
    </row>
    <row r="200" spans="1:5">
      <c r="A200" s="2" t="s">
        <v>231</v>
      </c>
      <c r="B200">
        <v>3.8351000000000002</v>
      </c>
      <c r="C200">
        <v>37.278799999999997</v>
      </c>
      <c r="D200">
        <f t="shared" si="6"/>
        <v>11.9194908</v>
      </c>
      <c r="E200">
        <f t="shared" si="7"/>
        <v>391.42739999999998</v>
      </c>
    </row>
    <row r="201" spans="1:5">
      <c r="A201" s="2" t="s">
        <v>232</v>
      </c>
      <c r="B201">
        <v>5.2568999999999999</v>
      </c>
      <c r="C201">
        <v>36.7027</v>
      </c>
      <c r="D201">
        <f t="shared" si="6"/>
        <v>16.338445199999999</v>
      </c>
      <c r="E201">
        <f t="shared" si="7"/>
        <v>385.37835000000001</v>
      </c>
    </row>
    <row r="202" spans="1:5">
      <c r="A202" s="2" t="s">
        <v>233</v>
      </c>
      <c r="B202">
        <v>5.9141000000000004</v>
      </c>
      <c r="C202">
        <v>34.9223</v>
      </c>
      <c r="D202">
        <f t="shared" si="6"/>
        <v>18.3810228</v>
      </c>
      <c r="E202">
        <f t="shared" si="7"/>
        <v>366.68414999999999</v>
      </c>
    </row>
    <row r="203" spans="1:5">
      <c r="A203" s="2" t="s">
        <v>234</v>
      </c>
      <c r="B203">
        <v>0.35809999999999997</v>
      </c>
      <c r="C203">
        <v>39.699100000000001</v>
      </c>
      <c r="D203">
        <f t="shared" si="6"/>
        <v>1.1129747999999999</v>
      </c>
      <c r="E203">
        <f t="shared" si="7"/>
        <v>416.84055000000001</v>
      </c>
    </row>
    <row r="204" spans="1:5">
      <c r="A204" s="2" t="s">
        <v>235</v>
      </c>
      <c r="B204">
        <v>0.34920000000000001</v>
      </c>
      <c r="C204">
        <v>40.456499999999998</v>
      </c>
      <c r="D204">
        <f t="shared" si="6"/>
        <v>1.0853136000000001</v>
      </c>
      <c r="E204">
        <f t="shared" si="7"/>
        <v>424.79325</v>
      </c>
    </row>
    <row r="205" spans="1:5">
      <c r="A205" s="2" t="s">
        <v>236</v>
      </c>
      <c r="B205">
        <v>0.29559999999999997</v>
      </c>
      <c r="C205">
        <v>39.062800000000003</v>
      </c>
      <c r="D205">
        <f t="shared" si="6"/>
        <v>0.9187247999999999</v>
      </c>
      <c r="E205">
        <f t="shared" si="7"/>
        <v>410.15940000000001</v>
      </c>
    </row>
    <row r="206" spans="1:5">
      <c r="A206" s="2" t="s">
        <v>237</v>
      </c>
      <c r="B206">
        <v>4.4520999999999997</v>
      </c>
      <c r="C206">
        <v>37.502200000000002</v>
      </c>
      <c r="D206">
        <f t="shared" si="6"/>
        <v>13.8371268</v>
      </c>
      <c r="E206">
        <f t="shared" si="7"/>
        <v>393.7731</v>
      </c>
    </row>
    <row r="207" spans="1:5">
      <c r="A207" s="2" t="s">
        <v>238</v>
      </c>
      <c r="B207">
        <v>8.6410999999999998</v>
      </c>
      <c r="C207">
        <v>36.813400000000001</v>
      </c>
      <c r="D207">
        <f t="shared" si="6"/>
        <v>26.856538799999999</v>
      </c>
      <c r="E207">
        <f t="shared" si="7"/>
        <v>386.54070000000002</v>
      </c>
    </row>
    <row r="208" spans="1:5">
      <c r="A208" s="2" t="s">
        <v>239</v>
      </c>
      <c r="B208">
        <v>11.718400000000001</v>
      </c>
      <c r="C208">
        <v>33.253399999999999</v>
      </c>
      <c r="D208">
        <f t="shared" si="6"/>
        <v>36.420787200000007</v>
      </c>
      <c r="E208">
        <f t="shared" si="7"/>
        <v>349.16070000000002</v>
      </c>
    </row>
    <row r="209" spans="1:5">
      <c r="A209" s="2" t="s">
        <v>240</v>
      </c>
      <c r="B209">
        <v>4.8803000000000001</v>
      </c>
      <c r="C209">
        <v>37.197000000000003</v>
      </c>
      <c r="D209">
        <f t="shared" si="6"/>
        <v>15.1679724</v>
      </c>
      <c r="E209">
        <f t="shared" si="7"/>
        <v>390.56850000000003</v>
      </c>
    </row>
    <row r="210" spans="1:5">
      <c r="A210" s="2" t="s">
        <v>241</v>
      </c>
      <c r="B210">
        <v>8.8409999999999993</v>
      </c>
      <c r="C210">
        <v>35.447800000000001</v>
      </c>
      <c r="D210">
        <f t="shared" si="6"/>
        <v>27.477827999999999</v>
      </c>
      <c r="E210">
        <f t="shared" si="7"/>
        <v>372.20190000000002</v>
      </c>
    </row>
    <row r="211" spans="1:5">
      <c r="A211" s="2" t="s">
        <v>242</v>
      </c>
      <c r="B211">
        <v>11.5966</v>
      </c>
      <c r="C211">
        <v>33.136400000000002</v>
      </c>
      <c r="D211">
        <f t="shared" si="6"/>
        <v>36.042232800000001</v>
      </c>
      <c r="E211">
        <f t="shared" si="7"/>
        <v>347.93220000000002</v>
      </c>
    </row>
    <row r="212" spans="1:5">
      <c r="A212" s="2" t="s">
        <v>243</v>
      </c>
      <c r="B212">
        <v>4.9657</v>
      </c>
      <c r="C212">
        <v>37.341900000000003</v>
      </c>
      <c r="D212">
        <f t="shared" si="6"/>
        <v>15.433395600000001</v>
      </c>
      <c r="E212">
        <f t="shared" si="7"/>
        <v>392.08995000000004</v>
      </c>
    </row>
    <row r="213" spans="1:5">
      <c r="A213" s="2" t="s">
        <v>244</v>
      </c>
      <c r="B213">
        <v>8.1478000000000002</v>
      </c>
      <c r="C213">
        <v>35.514499999999998</v>
      </c>
      <c r="D213">
        <f t="shared" si="6"/>
        <v>25.323362400000001</v>
      </c>
      <c r="E213">
        <f t="shared" si="7"/>
        <v>372.90224999999998</v>
      </c>
    </row>
    <row r="214" spans="1:5">
      <c r="A214" s="2" t="s">
        <v>245</v>
      </c>
      <c r="B214">
        <v>10.101100000000001</v>
      </c>
      <c r="C214">
        <v>33.6965</v>
      </c>
      <c r="D214">
        <f t="shared" si="6"/>
        <v>31.394218800000004</v>
      </c>
      <c r="E214">
        <f t="shared" si="7"/>
        <v>353.81324999999998</v>
      </c>
    </row>
    <row r="215" spans="1:5">
      <c r="A215" s="2" t="s">
        <v>246</v>
      </c>
      <c r="B215">
        <v>2.7151000000000001</v>
      </c>
      <c r="C215">
        <v>39.625900000000001</v>
      </c>
      <c r="D215">
        <f t="shared" si="6"/>
        <v>8.4385308000000006</v>
      </c>
      <c r="E215">
        <f t="shared" si="7"/>
        <v>416.07195000000002</v>
      </c>
    </row>
    <row r="216" spans="1:5">
      <c r="A216" s="2" t="s">
        <v>247</v>
      </c>
      <c r="B216">
        <v>2.5933000000000002</v>
      </c>
      <c r="C216">
        <v>39.555399999999999</v>
      </c>
      <c r="D216">
        <f t="shared" si="6"/>
        <v>8.0599764</v>
      </c>
      <c r="E216">
        <f t="shared" si="7"/>
        <v>415.33170000000001</v>
      </c>
    </row>
    <row r="217" spans="1:5">
      <c r="A217" s="2" t="s">
        <v>248</v>
      </c>
      <c r="B217">
        <v>1.6516</v>
      </c>
      <c r="C217">
        <v>37.646000000000001</v>
      </c>
      <c r="D217">
        <f t="shared" si="6"/>
        <v>5.1331727999999996</v>
      </c>
      <c r="E217">
        <f t="shared" si="7"/>
        <v>395.28300000000002</v>
      </c>
    </row>
    <row r="218" spans="1:5">
      <c r="A218" s="2" t="s">
        <v>265</v>
      </c>
      <c r="B218" s="12">
        <v>3.8536999999999999</v>
      </c>
      <c r="C218" s="12">
        <v>39.208100000000002</v>
      </c>
      <c r="D218">
        <f t="shared" si="6"/>
        <v>11.9772996</v>
      </c>
      <c r="E218">
        <f t="shared" si="7"/>
        <v>411.68505000000005</v>
      </c>
    </row>
    <row r="219" spans="1:5">
      <c r="A219" s="2" t="s">
        <v>266</v>
      </c>
      <c r="B219">
        <v>7.5442999999999998</v>
      </c>
      <c r="C219">
        <v>37.228000000000002</v>
      </c>
      <c r="D219">
        <f t="shared" si="6"/>
        <v>23.4476844</v>
      </c>
      <c r="E219">
        <f t="shared" si="7"/>
        <v>390.89400000000001</v>
      </c>
    </row>
    <row r="220" spans="1:5">
      <c r="A220" s="2" t="s">
        <v>267</v>
      </c>
      <c r="B220">
        <v>10.284599999999999</v>
      </c>
      <c r="C220">
        <v>37.262</v>
      </c>
      <c r="D220">
        <f t="shared" si="6"/>
        <v>31.964536799999998</v>
      </c>
      <c r="E220">
        <f t="shared" si="7"/>
        <v>391.25099999999998</v>
      </c>
    </row>
    <row r="221" spans="1:5">
      <c r="A221" s="2" t="s">
        <v>268</v>
      </c>
      <c r="B221">
        <v>0.37490000000000001</v>
      </c>
      <c r="C221">
        <v>42.349899999999998</v>
      </c>
      <c r="D221">
        <f t="shared" si="6"/>
        <v>1.1651892000000001</v>
      </c>
      <c r="E221">
        <f t="shared" si="7"/>
        <v>444.67394999999999</v>
      </c>
    </row>
    <row r="222" spans="1:5">
      <c r="A222" s="2" t="s">
        <v>269</v>
      </c>
      <c r="B222">
        <v>0.44209999999999999</v>
      </c>
      <c r="C222">
        <v>42.234099999999998</v>
      </c>
      <c r="D222">
        <f t="shared" si="6"/>
        <v>1.3740468000000001</v>
      </c>
      <c r="E222">
        <f t="shared" si="7"/>
        <v>443.45804999999996</v>
      </c>
    </row>
    <row r="223" spans="1:5">
      <c r="A223" s="2" t="s">
        <v>270</v>
      </c>
      <c r="B223">
        <v>0.48820000000000002</v>
      </c>
      <c r="C223">
        <v>42.169800000000002</v>
      </c>
      <c r="D223">
        <f t="shared" si="6"/>
        <v>1.5173256000000002</v>
      </c>
      <c r="E223">
        <f t="shared" si="7"/>
        <v>442.78290000000004</v>
      </c>
    </row>
    <row r="224" spans="1:5">
      <c r="A224" s="2" t="s">
        <v>271</v>
      </c>
      <c r="B224">
        <v>4.6704999999999997</v>
      </c>
      <c r="C224">
        <v>41.565100000000001</v>
      </c>
      <c r="D224">
        <f t="shared" si="6"/>
        <v>14.515913999999999</v>
      </c>
      <c r="E224">
        <f t="shared" si="7"/>
        <v>436.43355000000003</v>
      </c>
    </row>
    <row r="225" spans="1:5">
      <c r="A225" s="2" t="s">
        <v>272</v>
      </c>
      <c r="B225">
        <v>8.2146000000000008</v>
      </c>
      <c r="C225">
        <v>38.181199999999997</v>
      </c>
      <c r="D225">
        <f t="shared" si="6"/>
        <v>25.530976800000005</v>
      </c>
      <c r="E225">
        <f t="shared" si="7"/>
        <v>400.90259999999995</v>
      </c>
    </row>
    <row r="226" spans="1:5">
      <c r="A226" s="2" t="s">
        <v>273</v>
      </c>
      <c r="B226">
        <v>10.936199999999999</v>
      </c>
      <c r="C226">
        <v>35.784999999999997</v>
      </c>
      <c r="D226">
        <f t="shared" si="6"/>
        <v>33.989709599999998</v>
      </c>
      <c r="E226">
        <f t="shared" si="7"/>
        <v>375.74249999999995</v>
      </c>
    </row>
    <row r="227" spans="1:5">
      <c r="A227" s="2" t="s">
        <v>274</v>
      </c>
      <c r="B227">
        <v>0.39179999999999998</v>
      </c>
      <c r="C227">
        <v>43.669600000000003</v>
      </c>
      <c r="D227">
        <f t="shared" si="6"/>
        <v>1.2177144</v>
      </c>
      <c r="E227">
        <f t="shared" si="7"/>
        <v>458.5308</v>
      </c>
    </row>
    <row r="228" spans="1:5">
      <c r="A228" s="2" t="s">
        <v>275</v>
      </c>
      <c r="B228">
        <v>0.44159999999999999</v>
      </c>
      <c r="C228">
        <v>42.32</v>
      </c>
      <c r="D228">
        <f t="shared" si="6"/>
        <v>1.3724928000000001</v>
      </c>
      <c r="E228">
        <f t="shared" si="7"/>
        <v>444.36</v>
      </c>
    </row>
    <row r="229" spans="1:5">
      <c r="A229" s="2" t="s">
        <v>276</v>
      </c>
      <c r="B229">
        <v>0.46289999999999998</v>
      </c>
      <c r="C229">
        <v>41.487200000000001</v>
      </c>
      <c r="D229">
        <f t="shared" si="6"/>
        <v>1.4386931999999999</v>
      </c>
      <c r="E229">
        <f t="shared" si="7"/>
        <v>435.61560000000003</v>
      </c>
    </row>
    <row r="230" spans="1:5">
      <c r="A230" s="2" t="s">
        <v>277</v>
      </c>
      <c r="B230">
        <v>4.0613999999999999</v>
      </c>
      <c r="C230">
        <v>41.913400000000003</v>
      </c>
      <c r="D230">
        <f t="shared" si="6"/>
        <v>12.6228312</v>
      </c>
      <c r="E230">
        <f t="shared" si="7"/>
        <v>440.09070000000003</v>
      </c>
    </row>
    <row r="231" spans="1:5">
      <c r="A231" s="2" t="s">
        <v>278</v>
      </c>
      <c r="B231">
        <v>7.0659000000000001</v>
      </c>
      <c r="C231">
        <v>39.221200000000003</v>
      </c>
      <c r="D231">
        <f t="shared" si="6"/>
        <v>21.960817200000001</v>
      </c>
      <c r="E231">
        <f t="shared" si="7"/>
        <v>411.82260000000002</v>
      </c>
    </row>
    <row r="232" spans="1:5">
      <c r="A232" s="2" t="s">
        <v>279</v>
      </c>
      <c r="B232">
        <v>9.2158999999999995</v>
      </c>
      <c r="C232">
        <v>36.520499999999998</v>
      </c>
      <c r="D232">
        <f t="shared" si="6"/>
        <v>28.643017199999999</v>
      </c>
      <c r="E232">
        <f t="shared" si="7"/>
        <v>383.46524999999997</v>
      </c>
    </row>
    <row r="233" spans="1:5">
      <c r="A233" s="2" t="s">
        <v>280</v>
      </c>
      <c r="B233">
        <v>0.30890000000000001</v>
      </c>
      <c r="C233">
        <v>39.6145</v>
      </c>
      <c r="D233">
        <f t="shared" si="6"/>
        <v>0.96006120000000006</v>
      </c>
      <c r="E233">
        <f t="shared" si="7"/>
        <v>415.95224999999999</v>
      </c>
    </row>
    <row r="234" spans="1:5">
      <c r="A234" s="2" t="s">
        <v>281</v>
      </c>
      <c r="B234">
        <v>0.40189999999999998</v>
      </c>
      <c r="C234">
        <v>42.997799999999998</v>
      </c>
      <c r="D234">
        <f t="shared" si="6"/>
        <v>1.2491052</v>
      </c>
      <c r="E234">
        <f t="shared" si="7"/>
        <v>451.4769</v>
      </c>
    </row>
    <row r="235" spans="1:5">
      <c r="A235" s="2" t="s">
        <v>282</v>
      </c>
      <c r="B235">
        <v>0.3594</v>
      </c>
      <c r="C235">
        <v>40.4328</v>
      </c>
      <c r="D235">
        <f t="shared" si="6"/>
        <v>1.1170152</v>
      </c>
      <c r="E235">
        <f t="shared" si="7"/>
        <v>424.5444</v>
      </c>
    </row>
    <row r="236" spans="1:5">
      <c r="A236" s="2" t="s">
        <v>283</v>
      </c>
      <c r="B236">
        <v>3.6091000000000002</v>
      </c>
      <c r="C236">
        <v>39.805999999999997</v>
      </c>
      <c r="D236">
        <f t="shared" si="6"/>
        <v>11.217082800000002</v>
      </c>
      <c r="E236">
        <f t="shared" si="7"/>
        <v>417.96299999999997</v>
      </c>
    </row>
    <row r="237" spans="1:5">
      <c r="A237" s="2" t="s">
        <v>284</v>
      </c>
      <c r="B237">
        <v>6.7443999999999997</v>
      </c>
      <c r="C237">
        <v>39.953099999999999</v>
      </c>
      <c r="D237">
        <f t="shared" si="6"/>
        <v>20.961595200000001</v>
      </c>
      <c r="E237">
        <f t="shared" si="7"/>
        <v>419.50754999999998</v>
      </c>
    </row>
    <row r="238" spans="1:5">
      <c r="A238" s="2" t="s">
        <v>285</v>
      </c>
      <c r="B238">
        <v>8.8191000000000006</v>
      </c>
      <c r="C238">
        <v>36.9041</v>
      </c>
      <c r="D238">
        <f t="shared" si="6"/>
        <v>27.409762800000003</v>
      </c>
      <c r="E238">
        <f t="shared" si="7"/>
        <v>387.49304999999998</v>
      </c>
    </row>
    <row r="239" spans="1:5">
      <c r="A239" s="2" t="s">
        <v>286</v>
      </c>
      <c r="B239">
        <v>0.3226</v>
      </c>
      <c r="C239">
        <v>44.265300000000003</v>
      </c>
      <c r="D239">
        <f t="shared" si="6"/>
        <v>1.0026408</v>
      </c>
      <c r="E239">
        <f t="shared" si="7"/>
        <v>464.78565000000003</v>
      </c>
    </row>
    <row r="240" spans="1:5">
      <c r="A240" s="2" t="s">
        <v>287</v>
      </c>
      <c r="B240">
        <v>0.37669999999999998</v>
      </c>
      <c r="C240">
        <v>42.554000000000002</v>
      </c>
      <c r="D240">
        <f t="shared" si="6"/>
        <v>1.1707836</v>
      </c>
      <c r="E240">
        <f t="shared" si="7"/>
        <v>446.81700000000001</v>
      </c>
    </row>
    <row r="241" spans="1:5">
      <c r="A241" s="2" t="s">
        <v>288</v>
      </c>
      <c r="B241">
        <v>0.37630000000000002</v>
      </c>
      <c r="C241">
        <v>41.943899999999999</v>
      </c>
      <c r="D241">
        <f t="shared" si="6"/>
        <v>1.1695404</v>
      </c>
      <c r="E241">
        <f t="shared" si="7"/>
        <v>440.41095000000001</v>
      </c>
    </row>
    <row r="242" spans="1:5">
      <c r="A242" s="2" t="s">
        <v>289</v>
      </c>
      <c r="B242">
        <v>4.0221</v>
      </c>
      <c r="C242">
        <v>41.682200000000002</v>
      </c>
      <c r="D242">
        <f t="shared" si="6"/>
        <v>12.5006868</v>
      </c>
      <c r="E242">
        <f t="shared" si="7"/>
        <v>437.66310000000004</v>
      </c>
    </row>
    <row r="243" spans="1:5">
      <c r="A243" s="2" t="s">
        <v>290</v>
      </c>
      <c r="B243">
        <v>7.1590999999999996</v>
      </c>
      <c r="C243">
        <v>38.3887</v>
      </c>
      <c r="D243">
        <f t="shared" si="6"/>
        <v>22.2504828</v>
      </c>
      <c r="E243">
        <f t="shared" si="7"/>
        <v>403.08134999999999</v>
      </c>
    </row>
    <row r="244" spans="1:5">
      <c r="A244" s="2" t="s">
        <v>291</v>
      </c>
      <c r="B244">
        <v>9.3954000000000004</v>
      </c>
      <c r="C244">
        <v>35.4709</v>
      </c>
      <c r="D244">
        <f t="shared" si="6"/>
        <v>29.200903200000003</v>
      </c>
      <c r="E244">
        <f t="shared" si="7"/>
        <v>372.44445000000002</v>
      </c>
    </row>
    <row r="245" spans="1:5">
      <c r="A245" s="2" t="s">
        <v>292</v>
      </c>
      <c r="B245">
        <v>0.34889999999999999</v>
      </c>
      <c r="C245">
        <v>43.570500000000003</v>
      </c>
      <c r="D245">
        <f t="shared" si="6"/>
        <v>1.0843811999999999</v>
      </c>
      <c r="E245">
        <f t="shared" si="7"/>
        <v>457.49025</v>
      </c>
    </row>
    <row r="246" spans="1:5">
      <c r="A246" s="2" t="s">
        <v>293</v>
      </c>
      <c r="B246">
        <v>0.4027</v>
      </c>
      <c r="C246">
        <v>41.627400000000002</v>
      </c>
      <c r="D246">
        <f t="shared" si="6"/>
        <v>1.2515916</v>
      </c>
      <c r="E246">
        <f t="shared" si="7"/>
        <v>437.08770000000004</v>
      </c>
    </row>
    <row r="247" spans="1:5">
      <c r="A247" s="2" t="s">
        <v>294</v>
      </c>
      <c r="B247">
        <v>0.39369999999999999</v>
      </c>
      <c r="C247">
        <v>41.131300000000003</v>
      </c>
      <c r="D247">
        <f t="shared" si="6"/>
        <v>1.2236195999999999</v>
      </c>
      <c r="E247">
        <f t="shared" si="7"/>
        <v>431.87865000000005</v>
      </c>
    </row>
    <row r="248" spans="1:5">
      <c r="A248" s="2" t="s">
        <v>295</v>
      </c>
      <c r="B248">
        <v>5.1970999999999998</v>
      </c>
      <c r="C248">
        <v>40.044499999999999</v>
      </c>
      <c r="D248">
        <f t="shared" si="6"/>
        <v>16.152586800000002</v>
      </c>
      <c r="E248">
        <f t="shared" si="7"/>
        <v>420.46724999999998</v>
      </c>
    </row>
    <row r="249" spans="1:5">
      <c r="A249" s="2" t="s">
        <v>296</v>
      </c>
      <c r="B249">
        <v>9.3828999999999994</v>
      </c>
      <c r="C249">
        <v>36.597299999999997</v>
      </c>
      <c r="D249">
        <f t="shared" si="6"/>
        <v>29.162053199999999</v>
      </c>
      <c r="E249">
        <f t="shared" si="7"/>
        <v>384.27164999999997</v>
      </c>
    </row>
    <row r="250" spans="1:5">
      <c r="A250" s="2" t="s">
        <v>297</v>
      </c>
      <c r="B250">
        <v>11.9907</v>
      </c>
      <c r="C250">
        <v>34.588099999999997</v>
      </c>
      <c r="D250">
        <f t="shared" si="6"/>
        <v>37.267095600000005</v>
      </c>
      <c r="E250">
        <f t="shared" si="7"/>
        <v>363.17504999999994</v>
      </c>
    </row>
    <row r="251" spans="1:5">
      <c r="A251" s="2" t="s">
        <v>298</v>
      </c>
      <c r="B251">
        <v>1.5854999999999999</v>
      </c>
      <c r="C251">
        <v>42.0717</v>
      </c>
      <c r="D251">
        <f t="shared" si="6"/>
        <v>4.9277340000000001</v>
      </c>
      <c r="E251">
        <f t="shared" si="7"/>
        <v>441.75285000000002</v>
      </c>
    </row>
    <row r="252" spans="1:5">
      <c r="A252" s="2" t="s">
        <v>299</v>
      </c>
      <c r="B252">
        <v>2.3451</v>
      </c>
      <c r="C252">
        <v>39.703200000000002</v>
      </c>
      <c r="D252">
        <f t="shared" si="6"/>
        <v>7.2885708000000005</v>
      </c>
      <c r="E252">
        <f t="shared" si="7"/>
        <v>416.8836</v>
      </c>
    </row>
    <row r="253" spans="1:5">
      <c r="A253" s="2" t="s">
        <v>300</v>
      </c>
      <c r="B253">
        <v>4.2130000000000001</v>
      </c>
      <c r="C253">
        <v>37.945700000000002</v>
      </c>
      <c r="D253">
        <f t="shared" si="6"/>
        <v>13.094004</v>
      </c>
      <c r="E253">
        <f t="shared" si="7"/>
        <v>398.42985000000004</v>
      </c>
    </row>
    <row r="254" spans="1:5">
      <c r="A254" s="2" t="s">
        <v>301</v>
      </c>
      <c r="B254">
        <v>2.6084999999999998</v>
      </c>
      <c r="C254">
        <v>37.405200000000001</v>
      </c>
      <c r="D254">
        <f t="shared" si="6"/>
        <v>8.1072179999999996</v>
      </c>
      <c r="E254">
        <f t="shared" si="7"/>
        <v>392.75459999999998</v>
      </c>
    </row>
    <row r="255" spans="1:5">
      <c r="A255" s="2" t="s">
        <v>302</v>
      </c>
      <c r="B255">
        <v>5.8582999999999998</v>
      </c>
      <c r="C255">
        <v>34.530900000000003</v>
      </c>
      <c r="D255">
        <f t="shared" si="6"/>
        <v>18.2075964</v>
      </c>
      <c r="E255">
        <f t="shared" si="7"/>
        <v>362.57445000000001</v>
      </c>
    </row>
    <row r="256" spans="1:5">
      <c r="A256" s="2" t="s">
        <v>303</v>
      </c>
      <c r="B256">
        <v>8.9214000000000002</v>
      </c>
      <c r="C256">
        <v>32.715899999999998</v>
      </c>
      <c r="D256">
        <f t="shared" si="6"/>
        <v>27.727711200000002</v>
      </c>
      <c r="E256">
        <f t="shared" si="7"/>
        <v>343.51694999999995</v>
      </c>
    </row>
    <row r="257" spans="1:5">
      <c r="A257" s="2" t="s">
        <v>304</v>
      </c>
      <c r="B257">
        <v>3.6541999999999999</v>
      </c>
      <c r="C257">
        <v>37.088000000000001</v>
      </c>
      <c r="D257">
        <f t="shared" si="6"/>
        <v>11.3572536</v>
      </c>
      <c r="E257">
        <f t="shared" si="7"/>
        <v>389.42400000000004</v>
      </c>
    </row>
    <row r="258" spans="1:5">
      <c r="A258" s="2" t="s">
        <v>305</v>
      </c>
      <c r="B258">
        <v>7.2667000000000002</v>
      </c>
      <c r="C258">
        <v>34.0366</v>
      </c>
      <c r="D258">
        <f t="shared" si="6"/>
        <v>22.584903600000001</v>
      </c>
      <c r="E258">
        <f t="shared" si="7"/>
        <v>357.3843</v>
      </c>
    </row>
    <row r="259" spans="1:5">
      <c r="A259" s="2" t="s">
        <v>306</v>
      </c>
      <c r="B259">
        <v>10.614100000000001</v>
      </c>
      <c r="C259">
        <v>31.533200000000001</v>
      </c>
      <c r="D259">
        <f t="shared" ref="D259:D322" si="8">B259*3.108</f>
        <v>32.988622800000002</v>
      </c>
      <c r="E259">
        <f t="shared" ref="E259:E322" si="9">C259*10.5</f>
        <v>331.09860000000003</v>
      </c>
    </row>
    <row r="260" spans="1:5">
      <c r="A260" s="2" t="s">
        <v>307</v>
      </c>
      <c r="B260">
        <v>4.6176000000000004</v>
      </c>
      <c r="C260">
        <v>36.526000000000003</v>
      </c>
      <c r="D260">
        <f t="shared" si="8"/>
        <v>14.351500800000002</v>
      </c>
      <c r="E260">
        <f t="shared" si="9"/>
        <v>383.52300000000002</v>
      </c>
    </row>
    <row r="261" spans="1:5">
      <c r="A261" s="2" t="s">
        <v>308</v>
      </c>
      <c r="B261">
        <v>8.51</v>
      </c>
      <c r="C261">
        <v>33.141399999999997</v>
      </c>
      <c r="D261">
        <f t="shared" si="8"/>
        <v>26.449079999999999</v>
      </c>
      <c r="E261">
        <f t="shared" si="9"/>
        <v>347.98469999999998</v>
      </c>
    </row>
    <row r="262" spans="1:5">
      <c r="A262" s="2" t="s">
        <v>309</v>
      </c>
      <c r="B262">
        <v>11.917999999999999</v>
      </c>
      <c r="C262">
        <v>29.779399999999999</v>
      </c>
      <c r="D262">
        <f t="shared" si="8"/>
        <v>37.041143999999996</v>
      </c>
      <c r="E262">
        <f t="shared" si="9"/>
        <v>312.68369999999999</v>
      </c>
    </row>
    <row r="263" spans="1:5">
      <c r="A263" s="2" t="s">
        <v>310</v>
      </c>
      <c r="B263">
        <v>5.1508000000000003</v>
      </c>
      <c r="C263">
        <v>35.483800000000002</v>
      </c>
      <c r="D263">
        <f t="shared" si="8"/>
        <v>16.008686400000002</v>
      </c>
      <c r="E263">
        <f t="shared" si="9"/>
        <v>372.57990000000001</v>
      </c>
    </row>
    <row r="264" spans="1:5">
      <c r="A264" s="2" t="s">
        <v>311</v>
      </c>
      <c r="B264">
        <v>8.8774999999999995</v>
      </c>
      <c r="C264">
        <v>32.513199999999998</v>
      </c>
      <c r="D264">
        <f t="shared" si="8"/>
        <v>27.591269999999998</v>
      </c>
      <c r="E264">
        <f t="shared" si="9"/>
        <v>341.3886</v>
      </c>
    </row>
    <row r="265" spans="1:5">
      <c r="A265" s="2" t="s">
        <v>312</v>
      </c>
      <c r="B265">
        <v>12.001200000000001</v>
      </c>
      <c r="C265">
        <v>28.617999999999999</v>
      </c>
      <c r="D265">
        <f t="shared" si="8"/>
        <v>37.299729600000006</v>
      </c>
      <c r="E265">
        <f t="shared" si="9"/>
        <v>300.48899999999998</v>
      </c>
    </row>
    <row r="266" spans="1:5">
      <c r="A266" s="2" t="s">
        <v>313</v>
      </c>
      <c r="B266">
        <v>2.4803999999999999</v>
      </c>
      <c r="C266">
        <v>36.7562</v>
      </c>
      <c r="D266">
        <f t="shared" si="8"/>
        <v>7.7090832000000002</v>
      </c>
      <c r="E266">
        <f t="shared" si="9"/>
        <v>385.94009999999997</v>
      </c>
    </row>
    <row r="267" spans="1:5">
      <c r="A267" s="2" t="s">
        <v>314</v>
      </c>
      <c r="B267">
        <v>5.5106999999999999</v>
      </c>
      <c r="C267">
        <v>35.694499999999998</v>
      </c>
      <c r="D267">
        <f t="shared" si="8"/>
        <v>17.127255600000002</v>
      </c>
      <c r="E267">
        <f t="shared" si="9"/>
        <v>374.79224999999997</v>
      </c>
    </row>
    <row r="268" spans="1:5">
      <c r="A268" s="2" t="s">
        <v>315</v>
      </c>
      <c r="B268">
        <v>8.2246000000000006</v>
      </c>
      <c r="C268">
        <v>33.139800000000001</v>
      </c>
      <c r="D268">
        <f t="shared" si="8"/>
        <v>25.562056800000004</v>
      </c>
      <c r="E268">
        <f t="shared" si="9"/>
        <v>347.96789999999999</v>
      </c>
    </row>
    <row r="269" spans="1:5">
      <c r="A269" s="2" t="s">
        <v>316</v>
      </c>
      <c r="B269">
        <v>3.3893</v>
      </c>
      <c r="C269">
        <v>37.333500000000001</v>
      </c>
      <c r="D269">
        <f t="shared" si="8"/>
        <v>10.533944400000001</v>
      </c>
      <c r="E269">
        <f t="shared" si="9"/>
        <v>392.00175000000002</v>
      </c>
    </row>
    <row r="270" spans="1:5">
      <c r="A270" s="2" t="s">
        <v>317</v>
      </c>
      <c r="B270">
        <v>6.6966999999999999</v>
      </c>
      <c r="C270">
        <v>34.218899999999998</v>
      </c>
      <c r="D270">
        <f t="shared" si="8"/>
        <v>20.8133436</v>
      </c>
      <c r="E270">
        <f t="shared" si="9"/>
        <v>359.29845</v>
      </c>
    </row>
    <row r="271" spans="1:5">
      <c r="A271" s="2" t="s">
        <v>318</v>
      </c>
      <c r="B271">
        <v>9.8483999999999998</v>
      </c>
      <c r="C271">
        <v>31.419</v>
      </c>
      <c r="D271">
        <f t="shared" si="8"/>
        <v>30.6088272</v>
      </c>
      <c r="E271">
        <f t="shared" si="9"/>
        <v>329.89949999999999</v>
      </c>
    </row>
    <row r="272" spans="1:5">
      <c r="A272" s="2" t="s">
        <v>319</v>
      </c>
      <c r="B272">
        <v>4.2214</v>
      </c>
      <c r="C272">
        <v>36.0075</v>
      </c>
      <c r="D272">
        <f t="shared" si="8"/>
        <v>13.1201112</v>
      </c>
      <c r="E272">
        <f t="shared" si="9"/>
        <v>378.07875000000001</v>
      </c>
    </row>
    <row r="273" spans="1:5">
      <c r="A273" s="2" t="s">
        <v>320</v>
      </c>
      <c r="B273">
        <v>7.9455</v>
      </c>
      <c r="C273">
        <v>33.366900000000001</v>
      </c>
      <c r="D273">
        <f t="shared" si="8"/>
        <v>24.694614000000001</v>
      </c>
      <c r="E273">
        <f t="shared" si="9"/>
        <v>350.35245000000003</v>
      </c>
    </row>
    <row r="274" spans="1:5">
      <c r="A274" s="2" t="s">
        <v>321</v>
      </c>
      <c r="B274">
        <v>10.982100000000001</v>
      </c>
      <c r="C274">
        <v>29.441299999999998</v>
      </c>
      <c r="D274">
        <f t="shared" si="8"/>
        <v>34.132366800000007</v>
      </c>
      <c r="E274">
        <f t="shared" si="9"/>
        <v>309.13364999999999</v>
      </c>
    </row>
    <row r="275" spans="1:5">
      <c r="A275" s="2" t="s">
        <v>322</v>
      </c>
      <c r="B275">
        <v>4.8506999999999998</v>
      </c>
      <c r="C275">
        <v>34.411999999999999</v>
      </c>
      <c r="D275">
        <f t="shared" si="8"/>
        <v>15.0759756</v>
      </c>
      <c r="E275">
        <f t="shared" si="9"/>
        <v>361.32599999999996</v>
      </c>
    </row>
    <row r="276" spans="1:5">
      <c r="A276" s="2" t="s">
        <v>323</v>
      </c>
      <c r="B276">
        <v>8.4186999999999994</v>
      </c>
      <c r="C276">
        <v>32.971499999999999</v>
      </c>
      <c r="D276">
        <f t="shared" si="8"/>
        <v>26.1653196</v>
      </c>
      <c r="E276">
        <f t="shared" si="9"/>
        <v>346.20074999999997</v>
      </c>
    </row>
    <row r="277" spans="1:5">
      <c r="A277" s="2" t="s">
        <v>324</v>
      </c>
      <c r="B277">
        <v>11.4293</v>
      </c>
      <c r="C277">
        <v>28.923200000000001</v>
      </c>
      <c r="D277">
        <f t="shared" si="8"/>
        <v>35.522264399999997</v>
      </c>
      <c r="E277">
        <f t="shared" si="9"/>
        <v>303.6936</v>
      </c>
    </row>
    <row r="278" spans="1:5">
      <c r="A278" s="2" t="s">
        <v>325</v>
      </c>
      <c r="B278">
        <v>2.5779999999999998</v>
      </c>
      <c r="C278">
        <v>36.735599999999998</v>
      </c>
      <c r="D278">
        <f t="shared" si="8"/>
        <v>8.0124239999999993</v>
      </c>
      <c r="E278">
        <f t="shared" si="9"/>
        <v>385.72379999999998</v>
      </c>
    </row>
    <row r="279" spans="1:5">
      <c r="A279" s="2" t="s">
        <v>326</v>
      </c>
      <c r="B279">
        <v>5.5655000000000001</v>
      </c>
      <c r="C279">
        <v>35.293199999999999</v>
      </c>
      <c r="D279">
        <f t="shared" si="8"/>
        <v>17.297574000000001</v>
      </c>
      <c r="E279">
        <f t="shared" si="9"/>
        <v>370.57859999999999</v>
      </c>
    </row>
    <row r="280" spans="1:5">
      <c r="A280" s="2" t="s">
        <v>327</v>
      </c>
      <c r="B280">
        <v>8.6885999999999992</v>
      </c>
      <c r="C280">
        <v>33.1813</v>
      </c>
      <c r="D280">
        <f t="shared" si="8"/>
        <v>27.004168799999999</v>
      </c>
      <c r="E280">
        <f t="shared" si="9"/>
        <v>348.40365000000003</v>
      </c>
    </row>
    <row r="281" spans="1:5">
      <c r="A281" s="2" t="s">
        <v>328</v>
      </c>
      <c r="B281">
        <v>3.5636000000000001</v>
      </c>
      <c r="C281">
        <v>37.9422</v>
      </c>
      <c r="D281">
        <f t="shared" si="8"/>
        <v>11.075668800000001</v>
      </c>
      <c r="E281">
        <f t="shared" si="9"/>
        <v>398.3931</v>
      </c>
    </row>
    <row r="282" spans="1:5">
      <c r="A282" s="2" t="s">
        <v>329</v>
      </c>
      <c r="B282">
        <v>7.0972999999999997</v>
      </c>
      <c r="C282">
        <v>34.479300000000002</v>
      </c>
      <c r="D282">
        <f t="shared" si="8"/>
        <v>22.058408400000001</v>
      </c>
      <c r="E282">
        <f t="shared" si="9"/>
        <v>362.03265000000005</v>
      </c>
    </row>
    <row r="283" spans="1:5">
      <c r="A283" s="2" t="s">
        <v>330</v>
      </c>
      <c r="B283">
        <v>10.2515</v>
      </c>
      <c r="C283">
        <v>30.208500000000001</v>
      </c>
      <c r="D283">
        <f t="shared" si="8"/>
        <v>31.861662000000003</v>
      </c>
      <c r="E283">
        <f t="shared" si="9"/>
        <v>317.18925000000002</v>
      </c>
    </row>
    <row r="284" spans="1:5">
      <c r="A284" s="2" t="s">
        <v>331</v>
      </c>
      <c r="B284">
        <v>4.2648999999999999</v>
      </c>
      <c r="C284">
        <v>34.9681</v>
      </c>
      <c r="D284">
        <f t="shared" si="8"/>
        <v>13.255309200000001</v>
      </c>
      <c r="E284">
        <f t="shared" si="9"/>
        <v>367.16505000000001</v>
      </c>
    </row>
    <row r="285" spans="1:5">
      <c r="A285" s="2" t="s">
        <v>332</v>
      </c>
      <c r="B285">
        <v>8.0949000000000009</v>
      </c>
      <c r="C285">
        <v>32.046999999999997</v>
      </c>
      <c r="D285">
        <f t="shared" si="8"/>
        <v>25.158949200000002</v>
      </c>
      <c r="E285">
        <f t="shared" si="9"/>
        <v>336.49349999999998</v>
      </c>
    </row>
    <row r="286" spans="1:5">
      <c r="A286" s="2" t="s">
        <v>333</v>
      </c>
      <c r="B286">
        <v>11.3348</v>
      </c>
      <c r="C286">
        <v>28.310099999999998</v>
      </c>
      <c r="D286">
        <f t="shared" si="8"/>
        <v>35.228558399999997</v>
      </c>
      <c r="E286">
        <f t="shared" si="9"/>
        <v>297.25604999999996</v>
      </c>
    </row>
    <row r="287" spans="1:5">
      <c r="A287" s="2" t="s">
        <v>334</v>
      </c>
      <c r="B287">
        <v>4.8636999999999997</v>
      </c>
      <c r="C287">
        <v>34.204000000000001</v>
      </c>
      <c r="D287">
        <f t="shared" si="8"/>
        <v>15.1163796</v>
      </c>
      <c r="E287">
        <f t="shared" si="9"/>
        <v>359.142</v>
      </c>
    </row>
    <row r="288" spans="1:5">
      <c r="A288" s="2" t="s">
        <v>335</v>
      </c>
      <c r="B288">
        <v>8.3302999999999994</v>
      </c>
      <c r="C288">
        <v>31.058599999999998</v>
      </c>
      <c r="D288">
        <f t="shared" si="8"/>
        <v>25.8905724</v>
      </c>
      <c r="E288">
        <f t="shared" si="9"/>
        <v>326.11529999999999</v>
      </c>
    </row>
    <row r="289" spans="1:5">
      <c r="A289" s="2" t="s">
        <v>336</v>
      </c>
      <c r="B289">
        <v>11.0161</v>
      </c>
      <c r="C289">
        <v>26.2395</v>
      </c>
      <c r="D289">
        <f t="shared" si="8"/>
        <v>34.238038799999998</v>
      </c>
      <c r="E289">
        <f t="shared" si="9"/>
        <v>275.51474999999999</v>
      </c>
    </row>
    <row r="290" spans="1:5">
      <c r="A290" s="2" t="s">
        <v>337</v>
      </c>
      <c r="B290">
        <v>2.4281999999999999</v>
      </c>
      <c r="C290">
        <v>35.736199999999997</v>
      </c>
      <c r="D290">
        <f t="shared" si="8"/>
        <v>7.5468456000000002</v>
      </c>
      <c r="E290">
        <f t="shared" si="9"/>
        <v>375.23009999999999</v>
      </c>
    </row>
    <row r="291" spans="1:5">
      <c r="A291" s="2" t="s">
        <v>338</v>
      </c>
      <c r="B291">
        <v>5.0713999999999997</v>
      </c>
      <c r="C291">
        <v>32.881</v>
      </c>
      <c r="D291">
        <f t="shared" si="8"/>
        <v>15.7619112</v>
      </c>
      <c r="E291">
        <f t="shared" si="9"/>
        <v>345.25049999999999</v>
      </c>
    </row>
    <row r="292" spans="1:5">
      <c r="A292" s="2" t="s">
        <v>339</v>
      </c>
      <c r="B292">
        <v>7.9645999999999999</v>
      </c>
      <c r="C292">
        <v>31.952400000000001</v>
      </c>
      <c r="D292">
        <f t="shared" si="8"/>
        <v>24.7539768</v>
      </c>
      <c r="E292">
        <f t="shared" si="9"/>
        <v>335.50020000000001</v>
      </c>
    </row>
    <row r="293" spans="1:5">
      <c r="A293" s="2" t="s">
        <v>340</v>
      </c>
      <c r="B293">
        <v>3.2601</v>
      </c>
      <c r="C293">
        <v>36.018799999999999</v>
      </c>
      <c r="D293">
        <f t="shared" si="8"/>
        <v>10.1323908</v>
      </c>
      <c r="E293">
        <f t="shared" si="9"/>
        <v>378.19740000000002</v>
      </c>
    </row>
    <row r="294" spans="1:5">
      <c r="A294" s="2" t="s">
        <v>341</v>
      </c>
      <c r="B294">
        <v>6.6338999999999997</v>
      </c>
      <c r="C294">
        <v>33.1235</v>
      </c>
      <c r="D294">
        <f t="shared" si="8"/>
        <v>20.618161199999999</v>
      </c>
      <c r="E294">
        <f t="shared" si="9"/>
        <v>347.79674999999997</v>
      </c>
    </row>
    <row r="295" spans="1:5">
      <c r="A295" s="2" t="s">
        <v>342</v>
      </c>
      <c r="B295">
        <v>9.5885999999999996</v>
      </c>
      <c r="C295">
        <v>30.221699999999998</v>
      </c>
      <c r="D295">
        <f t="shared" si="8"/>
        <v>29.801368799999999</v>
      </c>
      <c r="E295">
        <f t="shared" si="9"/>
        <v>317.32785000000001</v>
      </c>
    </row>
    <row r="296" spans="1:5">
      <c r="A296" s="2" t="s">
        <v>343</v>
      </c>
      <c r="B296">
        <v>4.0477999999999996</v>
      </c>
      <c r="C296">
        <v>34.633000000000003</v>
      </c>
      <c r="D296">
        <f t="shared" si="8"/>
        <v>12.5805624</v>
      </c>
      <c r="E296">
        <f t="shared" si="9"/>
        <v>363.6465</v>
      </c>
    </row>
    <row r="297" spans="1:5">
      <c r="A297" s="2" t="s">
        <v>344</v>
      </c>
      <c r="B297">
        <v>7.665</v>
      </c>
      <c r="C297">
        <v>32.046799999999998</v>
      </c>
      <c r="D297">
        <f t="shared" si="8"/>
        <v>23.82282</v>
      </c>
      <c r="E297">
        <f t="shared" si="9"/>
        <v>336.4914</v>
      </c>
    </row>
    <row r="298" spans="1:5">
      <c r="A298" s="2" t="s">
        <v>345</v>
      </c>
      <c r="B298">
        <v>10.9878</v>
      </c>
      <c r="C298">
        <v>29.085100000000001</v>
      </c>
      <c r="D298">
        <f t="shared" si="8"/>
        <v>34.150082400000002</v>
      </c>
      <c r="E298">
        <f t="shared" si="9"/>
        <v>305.39355</v>
      </c>
    </row>
    <row r="299" spans="1:5">
      <c r="A299" s="2" t="s">
        <v>346</v>
      </c>
      <c r="B299">
        <v>4.2072000000000003</v>
      </c>
      <c r="C299">
        <v>31.533000000000001</v>
      </c>
      <c r="D299">
        <f t="shared" si="8"/>
        <v>13.075977600000002</v>
      </c>
      <c r="E299">
        <f t="shared" si="9"/>
        <v>331.09649999999999</v>
      </c>
    </row>
    <row r="300" spans="1:5">
      <c r="A300" s="2" t="s">
        <v>347</v>
      </c>
      <c r="B300">
        <v>7.5625</v>
      </c>
      <c r="C300">
        <v>29.5655</v>
      </c>
      <c r="D300">
        <f t="shared" si="8"/>
        <v>23.504249999999999</v>
      </c>
      <c r="E300">
        <f t="shared" si="9"/>
        <v>310.43774999999999</v>
      </c>
    </row>
    <row r="301" spans="1:5">
      <c r="A301" s="2" t="s">
        <v>348</v>
      </c>
      <c r="B301">
        <v>11.104100000000001</v>
      </c>
      <c r="C301">
        <v>27.826000000000001</v>
      </c>
      <c r="D301">
        <f t="shared" si="8"/>
        <v>34.511542800000001</v>
      </c>
      <c r="E301">
        <f t="shared" si="9"/>
        <v>292.173</v>
      </c>
    </row>
    <row r="302" spans="1:5">
      <c r="A302" s="2" t="s">
        <v>349</v>
      </c>
      <c r="B302">
        <v>2.4500999999999999</v>
      </c>
      <c r="C302">
        <v>36.111600000000003</v>
      </c>
      <c r="D302">
        <f t="shared" si="8"/>
        <v>7.6149107999999996</v>
      </c>
      <c r="E302">
        <f t="shared" si="9"/>
        <v>379.17180000000002</v>
      </c>
    </row>
    <row r="303" spans="1:5">
      <c r="A303" s="2" t="s">
        <v>350</v>
      </c>
      <c r="B303">
        <v>5.3044000000000002</v>
      </c>
      <c r="C303">
        <v>33.458300000000001</v>
      </c>
      <c r="D303">
        <f t="shared" si="8"/>
        <v>16.486075200000002</v>
      </c>
      <c r="E303">
        <f t="shared" si="9"/>
        <v>351.31215000000003</v>
      </c>
    </row>
    <row r="304" spans="1:5">
      <c r="A304" s="2" t="s">
        <v>351</v>
      </c>
      <c r="B304">
        <v>8.0198999999999998</v>
      </c>
      <c r="C304">
        <v>31.8399</v>
      </c>
      <c r="D304">
        <f t="shared" si="8"/>
        <v>24.925849200000002</v>
      </c>
      <c r="E304">
        <f t="shared" si="9"/>
        <v>334.31894999999997</v>
      </c>
    </row>
    <row r="305" spans="1:5">
      <c r="A305" s="2" t="s">
        <v>352</v>
      </c>
      <c r="B305">
        <v>3.2039</v>
      </c>
      <c r="C305">
        <v>34.447499999999998</v>
      </c>
      <c r="D305">
        <f t="shared" si="8"/>
        <v>9.9577211999999999</v>
      </c>
      <c r="E305">
        <f t="shared" si="9"/>
        <v>361.69874999999996</v>
      </c>
    </row>
    <row r="306" spans="1:5">
      <c r="A306" s="2" t="s">
        <v>353</v>
      </c>
      <c r="B306">
        <v>6.7469999999999999</v>
      </c>
      <c r="C306">
        <v>32.678400000000003</v>
      </c>
      <c r="D306">
        <f t="shared" si="8"/>
        <v>20.969676</v>
      </c>
      <c r="E306">
        <f t="shared" si="9"/>
        <v>343.12320000000005</v>
      </c>
    </row>
    <row r="307" spans="1:5">
      <c r="A307" s="2" t="s">
        <v>354</v>
      </c>
      <c r="B307">
        <v>10.1068</v>
      </c>
      <c r="C307">
        <v>30.1629</v>
      </c>
      <c r="D307">
        <f t="shared" si="8"/>
        <v>31.4119344</v>
      </c>
      <c r="E307">
        <f t="shared" si="9"/>
        <v>316.71044999999998</v>
      </c>
    </row>
    <row r="308" spans="1:5">
      <c r="A308" s="2" t="s">
        <v>355</v>
      </c>
      <c r="B308">
        <v>4.0667999999999997</v>
      </c>
      <c r="C308">
        <v>33.872399999999999</v>
      </c>
      <c r="D308">
        <f t="shared" si="8"/>
        <v>12.639614399999999</v>
      </c>
      <c r="E308">
        <f t="shared" si="9"/>
        <v>355.66019999999997</v>
      </c>
    </row>
    <row r="309" spans="1:5">
      <c r="A309" s="2" t="s">
        <v>356</v>
      </c>
      <c r="B309">
        <v>7.8695000000000004</v>
      </c>
      <c r="C309">
        <v>31.769500000000001</v>
      </c>
      <c r="D309">
        <f t="shared" si="8"/>
        <v>24.458406000000004</v>
      </c>
      <c r="E309">
        <f t="shared" si="9"/>
        <v>333.57974999999999</v>
      </c>
    </row>
    <row r="310" spans="1:5">
      <c r="A310" s="2" t="s">
        <v>357</v>
      </c>
      <c r="B310">
        <v>11.0097</v>
      </c>
      <c r="C310">
        <v>28.176500000000001</v>
      </c>
      <c r="D310">
        <f t="shared" si="8"/>
        <v>34.218147600000002</v>
      </c>
      <c r="E310">
        <f t="shared" si="9"/>
        <v>295.85325</v>
      </c>
    </row>
    <row r="311" spans="1:5">
      <c r="A311" s="2" t="s">
        <v>358</v>
      </c>
      <c r="B311">
        <v>4.8154000000000003</v>
      </c>
      <c r="C311">
        <v>34.311199999999999</v>
      </c>
      <c r="D311">
        <f t="shared" si="8"/>
        <v>14.966263200000002</v>
      </c>
      <c r="E311">
        <f t="shared" si="9"/>
        <v>360.26760000000002</v>
      </c>
    </row>
    <row r="312" spans="1:5">
      <c r="A312" s="2" t="s">
        <v>359</v>
      </c>
      <c r="B312">
        <v>8.6328999999999994</v>
      </c>
      <c r="C312">
        <v>32.533799999999999</v>
      </c>
      <c r="D312">
        <f t="shared" si="8"/>
        <v>26.831053199999999</v>
      </c>
      <c r="E312">
        <f t="shared" si="9"/>
        <v>341.60489999999999</v>
      </c>
    </row>
    <row r="313" spans="1:5">
      <c r="A313" s="2" t="s">
        <v>360</v>
      </c>
      <c r="B313">
        <v>11.8142</v>
      </c>
      <c r="C313">
        <v>28.2303</v>
      </c>
      <c r="D313">
        <f t="shared" si="8"/>
        <v>36.718533600000001</v>
      </c>
      <c r="E313">
        <f t="shared" si="9"/>
        <v>296.41814999999997</v>
      </c>
    </row>
    <row r="314" spans="1:5">
      <c r="A314" s="2" t="s">
        <v>361</v>
      </c>
      <c r="B314">
        <v>2.5407999999999999</v>
      </c>
      <c r="C314">
        <v>38.252400000000002</v>
      </c>
      <c r="D314">
        <f t="shared" si="8"/>
        <v>7.8968064</v>
      </c>
      <c r="E314">
        <f t="shared" si="9"/>
        <v>401.65020000000004</v>
      </c>
    </row>
    <row r="315" spans="1:5">
      <c r="A315" s="2" t="s">
        <v>362</v>
      </c>
      <c r="B315">
        <v>5.1874000000000002</v>
      </c>
      <c r="C315">
        <v>34.475000000000001</v>
      </c>
      <c r="D315">
        <f t="shared" si="8"/>
        <v>16.122439200000002</v>
      </c>
      <c r="E315">
        <f t="shared" si="9"/>
        <v>361.98750000000001</v>
      </c>
    </row>
    <row r="316" spans="1:5">
      <c r="A316" s="2" t="s">
        <v>363</v>
      </c>
      <c r="B316">
        <v>8.4102999999999994</v>
      </c>
      <c r="C316">
        <v>35.0886</v>
      </c>
      <c r="D316">
        <f t="shared" si="8"/>
        <v>26.139212399999998</v>
      </c>
      <c r="E316">
        <f t="shared" si="9"/>
        <v>368.43029999999999</v>
      </c>
    </row>
    <row r="317" spans="1:5">
      <c r="A317" s="2" t="s">
        <v>364</v>
      </c>
      <c r="B317">
        <v>3.4689999999999999</v>
      </c>
      <c r="C317">
        <v>39.025700000000001</v>
      </c>
      <c r="D317">
        <f t="shared" si="8"/>
        <v>10.781651999999999</v>
      </c>
      <c r="E317">
        <f t="shared" si="9"/>
        <v>409.76985000000002</v>
      </c>
    </row>
    <row r="318" spans="1:5">
      <c r="A318" s="2" t="s">
        <v>365</v>
      </c>
      <c r="B318">
        <v>6.88</v>
      </c>
      <c r="C318">
        <v>35.144599999999997</v>
      </c>
      <c r="D318">
        <f t="shared" si="8"/>
        <v>21.383040000000001</v>
      </c>
      <c r="E318">
        <f t="shared" si="9"/>
        <v>369.01829999999995</v>
      </c>
    </row>
    <row r="319" spans="1:5">
      <c r="A319" s="2" t="s">
        <v>366</v>
      </c>
      <c r="B319">
        <v>10.2783</v>
      </c>
      <c r="C319">
        <v>33.5002</v>
      </c>
      <c r="D319">
        <f t="shared" si="8"/>
        <v>31.944956399999999</v>
      </c>
      <c r="E319">
        <f t="shared" si="9"/>
        <v>351.75209999999998</v>
      </c>
    </row>
    <row r="320" spans="1:5">
      <c r="A320" s="2" t="s">
        <v>367</v>
      </c>
      <c r="B320">
        <v>4.2942999999999998</v>
      </c>
      <c r="C320">
        <v>37.590200000000003</v>
      </c>
      <c r="D320">
        <f t="shared" si="8"/>
        <v>13.346684399999999</v>
      </c>
      <c r="E320">
        <f t="shared" si="9"/>
        <v>394.69710000000003</v>
      </c>
    </row>
    <row r="321" spans="1:5">
      <c r="A321" s="2" t="s">
        <v>368</v>
      </c>
      <c r="B321">
        <v>8.0913000000000004</v>
      </c>
      <c r="C321">
        <v>34.24</v>
      </c>
      <c r="D321">
        <f t="shared" si="8"/>
        <v>25.147760400000003</v>
      </c>
      <c r="E321">
        <f t="shared" si="9"/>
        <v>359.52000000000004</v>
      </c>
    </row>
    <row r="322" spans="1:5">
      <c r="A322" s="2" t="s">
        <v>369</v>
      </c>
      <c r="B322">
        <v>11.1518</v>
      </c>
      <c r="C322">
        <v>30.6648</v>
      </c>
      <c r="D322">
        <f t="shared" si="8"/>
        <v>34.659794400000003</v>
      </c>
      <c r="E322">
        <f t="shared" si="9"/>
        <v>321.98039999999997</v>
      </c>
    </row>
    <row r="323" spans="1:5">
      <c r="A323" s="2" t="s">
        <v>370</v>
      </c>
      <c r="B323">
        <v>4.9329999999999998</v>
      </c>
      <c r="C323">
        <v>36.6571</v>
      </c>
      <c r="D323">
        <f t="shared" ref="D323:D325" si="10">B323*3.108</f>
        <v>15.331764</v>
      </c>
      <c r="E323">
        <f t="shared" ref="E323:E325" si="11">C323*10.5</f>
        <v>384.89954999999998</v>
      </c>
    </row>
    <row r="324" spans="1:5">
      <c r="A324" s="2" t="s">
        <v>371</v>
      </c>
      <c r="B324">
        <v>8.5792999999999999</v>
      </c>
      <c r="C324">
        <v>33.375700000000002</v>
      </c>
      <c r="D324">
        <f t="shared" si="10"/>
        <v>26.6644644</v>
      </c>
      <c r="E324">
        <f t="shared" si="11"/>
        <v>350.44485000000003</v>
      </c>
    </row>
    <row r="325" spans="1:5">
      <c r="A325" s="2" t="s">
        <v>372</v>
      </c>
      <c r="B325">
        <v>12.198700000000001</v>
      </c>
      <c r="C325">
        <v>30.821999999999999</v>
      </c>
      <c r="D325">
        <f t="shared" si="10"/>
        <v>37.913559600000006</v>
      </c>
      <c r="E325">
        <f t="shared" si="11"/>
        <v>323.63099999999997</v>
      </c>
    </row>
  </sheetData>
  <sortState xmlns:xlrd2="http://schemas.microsoft.com/office/spreadsheetml/2017/richdata2" ref="A2:C325">
    <sortCondition ref="A1:A3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WT averages</vt:lpstr>
      <vt:lpstr>Sheet1</vt:lpstr>
      <vt:lpstr>Sheet2</vt:lpstr>
      <vt:lpstr>corrected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Marie Lax</dc:creator>
  <cp:lastModifiedBy>Brianna Marie Lax</cp:lastModifiedBy>
  <dcterms:created xsi:type="dcterms:W3CDTF">2025-11-26T09:12:02Z</dcterms:created>
  <dcterms:modified xsi:type="dcterms:W3CDTF">2025-12-10T15:36:32Z</dcterms:modified>
</cp:coreProperties>
</file>