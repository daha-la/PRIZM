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blax_dtu_dk/Documents/Brianna_shared/02 Fluorinase/"/>
    </mc:Choice>
  </mc:AlternateContent>
  <xr:revisionPtr revIDLastSave="136" documentId="8_{403682A6-67FB-444A-A4B5-EE3C16B9F990}" xr6:coauthVersionLast="47" xr6:coauthVersionMax="47" xr10:uidLastSave="{E89C5952-C02F-B147-840C-317FAA6D32A9}"/>
  <bookViews>
    <workbookView xWindow="0" yWindow="660" windowWidth="30240" windowHeight="18980" xr2:uid="{87328140-3708-9349-9086-BEFE369539E6}"/>
  </bookViews>
  <sheets>
    <sheet name="BML statistics" sheetId="2" r:id="rId1"/>
    <sheet name="chris kinetic param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N2" i="2"/>
  <c r="O2" i="2"/>
  <c r="N3" i="2"/>
  <c r="O3" i="2"/>
  <c r="P3" i="2" s="1"/>
  <c r="N4" i="2"/>
  <c r="O4" i="2"/>
  <c r="P4" i="2" s="1"/>
  <c r="M2" i="2"/>
  <c r="Q2" i="2" s="1"/>
  <c r="J3" i="2"/>
  <c r="J4" i="2"/>
  <c r="M3" i="2"/>
  <c r="M4" i="2"/>
  <c r="J2" i="2"/>
  <c r="I3" i="2"/>
  <c r="I2" i="2"/>
  <c r="Q4" i="2" l="1"/>
  <c r="P2" i="2"/>
  <c r="Q3" i="2"/>
  <c r="K3" i="2" l="1"/>
  <c r="L3" i="2"/>
  <c r="K4" i="2"/>
  <c r="L4" i="2"/>
  <c r="L2" i="2"/>
  <c r="K2" i="2"/>
  <c r="H12" i="1"/>
  <c r="H11" i="1"/>
</calcChain>
</file>

<file path=xl/sharedStrings.xml><?xml version="1.0" encoding="utf-8"?>
<sst xmlns="http://schemas.openxmlformats.org/spreadsheetml/2006/main" count="48" uniqueCount="30">
  <si>
    <t>Protein</t>
  </si>
  <si>
    <t>Replicate</t>
  </si>
  <si>
    <t>Vmax</t>
  </si>
  <si>
    <t>Enzyme_conc_mean</t>
  </si>
  <si>
    <t>Enzyme_conc_stdev</t>
  </si>
  <si>
    <t>kcat</t>
  </si>
  <si>
    <t>Km</t>
  </si>
  <si>
    <t>H191E</t>
  </si>
  <si>
    <t>H32L</t>
  </si>
  <si>
    <t>G37D</t>
  </si>
  <si>
    <t>WT</t>
  </si>
  <si>
    <t>S166A</t>
  </si>
  <si>
    <t>Quad</t>
  </si>
  <si>
    <t>K237R</t>
  </si>
  <si>
    <t>Temp</t>
  </si>
  <si>
    <t>kcat 1</t>
  </si>
  <si>
    <t>kcat 2</t>
  </si>
  <si>
    <t>km 1</t>
  </si>
  <si>
    <t>km 2</t>
  </si>
  <si>
    <t>kcat 3</t>
  </si>
  <si>
    <t>km 3</t>
  </si>
  <si>
    <t>kcat avg</t>
  </si>
  <si>
    <t>kcat stdev</t>
  </si>
  <si>
    <t>km avg</t>
  </si>
  <si>
    <t>km stdev</t>
  </si>
  <si>
    <t>kcat/kM 1</t>
  </si>
  <si>
    <t>kcat/kM 2</t>
  </si>
  <si>
    <t>kcat/kM 3</t>
  </si>
  <si>
    <t>kcat/kM avg</t>
  </si>
  <si>
    <t>kcat/kM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</si>
</sst>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D9C8-98CA-A84F-B488-3F4E9934B179}">
  <dimension ref="A1:Q4"/>
  <sheetViews>
    <sheetView tabSelected="1" zoomScale="120" zoomScaleNormal="120" workbookViewId="0">
      <selection activeCell="A7" sqref="A7:XFD12"/>
    </sheetView>
  </sheetViews>
  <sheetFormatPr baseColWidth="10" defaultRowHeight="16" x14ac:dyDescent="0.2"/>
  <cols>
    <col min="13" max="13" width="12.1640625" bestFit="1" customWidth="1"/>
  </cols>
  <sheetData>
    <row r="1" spans="1:17" s="1" customFormat="1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2">
      <c r="A2" t="s">
        <v>10</v>
      </c>
      <c r="B2">
        <v>57</v>
      </c>
      <c r="C2">
        <v>0.95489999999999997</v>
      </c>
      <c r="D2">
        <v>1.216</v>
      </c>
      <c r="E2">
        <v>1.137</v>
      </c>
      <c r="F2">
        <v>218.7</v>
      </c>
      <c r="G2">
        <v>289.60000000000002</v>
      </c>
      <c r="H2">
        <v>224.2</v>
      </c>
      <c r="I2">
        <f>AVERAGE(C2:E2)</f>
        <v>1.1026333333333334</v>
      </c>
      <c r="J2">
        <f>STDEV(C2:E2)</f>
        <v>0.13389960169221315</v>
      </c>
      <c r="K2">
        <f>AVERAGE(F2:H2)</f>
        <v>244.16666666666666</v>
      </c>
      <c r="L2">
        <f>STDEV(F2:H2)</f>
        <v>39.442405268103563</v>
      </c>
      <c r="M2">
        <f>C2/F2</f>
        <v>4.3662551440329222E-3</v>
      </c>
      <c r="N2">
        <f>D2/G2</f>
        <v>4.1988950276243093E-3</v>
      </c>
      <c r="O2">
        <f t="shared" ref="N2:O4" si="0">E2/H2</f>
        <v>5.0713648528099911E-3</v>
      </c>
      <c r="P2">
        <f>AVERAGE(M2:O2)</f>
        <v>4.5455050081557409E-3</v>
      </c>
      <c r="Q2">
        <f>STDEV(M2:O2)</f>
        <v>4.6303216336008479E-4</v>
      </c>
    </row>
    <row r="3" spans="1:17" x14ac:dyDescent="0.2">
      <c r="A3" t="s">
        <v>7</v>
      </c>
      <c r="B3">
        <v>57</v>
      </c>
      <c r="C3">
        <v>0.97709999999999997</v>
      </c>
      <c r="D3">
        <v>1.2210000000000001</v>
      </c>
      <c r="E3">
        <v>1.0589999999999999</v>
      </c>
      <c r="F3">
        <v>193.7</v>
      </c>
      <c r="G3">
        <v>257.5</v>
      </c>
      <c r="H3">
        <v>176.3</v>
      </c>
      <c r="I3">
        <f t="shared" ref="I3:I4" si="1">AVERAGE(C3:E3)</f>
        <v>1.0857000000000001</v>
      </c>
      <c r="J3">
        <f t="shared" ref="J3:J4" si="2">STDEV(C3:E3)</f>
        <v>0.12412280209534433</v>
      </c>
      <c r="K3">
        <f t="shared" ref="K3:K4" si="3">AVERAGE(F3:H3)</f>
        <v>209.16666666666666</v>
      </c>
      <c r="L3">
        <f t="shared" ref="L3:L4" si="4">STDEV(F3:H3)</f>
        <v>42.752465815825531</v>
      </c>
      <c r="M3">
        <f t="shared" ref="M3:M4" si="5">C3/F3</f>
        <v>5.044398554465669E-3</v>
      </c>
      <c r="N3">
        <f t="shared" si="0"/>
        <v>4.7417475728155347E-3</v>
      </c>
      <c r="O3">
        <f t="shared" si="0"/>
        <v>6.0068065796937036E-3</v>
      </c>
      <c r="P3">
        <f t="shared" ref="P3:P4" si="6">AVERAGE(M3:O3)</f>
        <v>5.2643175689916361E-3</v>
      </c>
      <c r="Q3">
        <f t="shared" ref="Q3:Q4" si="7">STDEV(M3:O3)</f>
        <v>6.6058069335505785E-4</v>
      </c>
    </row>
    <row r="4" spans="1:17" x14ac:dyDescent="0.2">
      <c r="A4" t="s">
        <v>13</v>
      </c>
      <c r="B4">
        <v>57</v>
      </c>
      <c r="C4">
        <v>0.90490000000000004</v>
      </c>
      <c r="D4">
        <v>1.0189999999999999</v>
      </c>
      <c r="E4">
        <v>0.88890000000000002</v>
      </c>
      <c r="F4">
        <v>72.22</v>
      </c>
      <c r="G4">
        <v>79.45</v>
      </c>
      <c r="H4">
        <v>50.18</v>
      </c>
      <c r="I4">
        <f>AVERAGE(C4:E4)</f>
        <v>0.9376000000000001</v>
      </c>
      <c r="J4">
        <f t="shared" si="2"/>
        <v>7.0946952013458547E-2</v>
      </c>
      <c r="K4">
        <f t="shared" si="3"/>
        <v>67.283333333333346</v>
      </c>
      <c r="L4">
        <f t="shared" si="4"/>
        <v>15.246679419904273</v>
      </c>
      <c r="M4">
        <f t="shared" si="5"/>
        <v>1.2529770146773747E-2</v>
      </c>
      <c r="N4">
        <f t="shared" si="0"/>
        <v>1.2825676526117054E-2</v>
      </c>
      <c r="O4">
        <f t="shared" si="0"/>
        <v>1.7714228776404942E-2</v>
      </c>
      <c r="P4">
        <f t="shared" si="6"/>
        <v>1.435655848309858E-2</v>
      </c>
      <c r="Q4">
        <f t="shared" si="7"/>
        <v>2.9115893417939343E-3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4580-EC3F-6B4A-AF42-F79AFD3B4F11}">
  <dimension ref="A1:H22"/>
  <sheetViews>
    <sheetView workbookViewId="0">
      <selection activeCell="K11" sqref="K1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">
      <c r="A2" t="s">
        <v>7</v>
      </c>
      <c r="B2">
        <v>1</v>
      </c>
      <c r="C2">
        <v>1.2645214914937299</v>
      </c>
      <c r="D2">
        <v>0.96785503799999995</v>
      </c>
      <c r="E2">
        <v>0</v>
      </c>
      <c r="F2">
        <v>0.217753251924098</v>
      </c>
      <c r="G2">
        <v>81.277169699165398</v>
      </c>
    </row>
    <row r="3" spans="1:8" x14ac:dyDescent="0.2">
      <c r="A3" t="s">
        <v>7</v>
      </c>
      <c r="B3">
        <v>2</v>
      </c>
      <c r="C3">
        <v>1.21934816826083</v>
      </c>
      <c r="D3">
        <v>0.979340973</v>
      </c>
      <c r="E3">
        <v>0</v>
      </c>
      <c r="F3">
        <v>0.20751168419677599</v>
      </c>
      <c r="G3">
        <v>55.319731482810198</v>
      </c>
    </row>
    <row r="4" spans="1:8" x14ac:dyDescent="0.2">
      <c r="A4" t="s">
        <v>7</v>
      </c>
      <c r="B4">
        <v>3</v>
      </c>
      <c r="C4">
        <v>1.38083785365962</v>
      </c>
      <c r="D4">
        <v>0.97894490599999995</v>
      </c>
      <c r="E4">
        <v>0</v>
      </c>
      <c r="F4">
        <v>0.23508947323395499</v>
      </c>
      <c r="G4">
        <v>56.268793531976797</v>
      </c>
    </row>
    <row r="5" spans="1:8" x14ac:dyDescent="0.2">
      <c r="A5" t="s">
        <v>8</v>
      </c>
      <c r="B5">
        <v>1</v>
      </c>
      <c r="C5">
        <v>1.28183669599955</v>
      </c>
      <c r="D5">
        <v>0.96521459300000001</v>
      </c>
      <c r="E5">
        <v>0</v>
      </c>
      <c r="F5">
        <v>0.22133880992126501</v>
      </c>
      <c r="G5">
        <v>73.494572175917597</v>
      </c>
    </row>
    <row r="6" spans="1:8" x14ac:dyDescent="0.2">
      <c r="A6" t="s">
        <v>8</v>
      </c>
      <c r="B6">
        <v>2</v>
      </c>
      <c r="C6">
        <v>1.1965135243868901</v>
      </c>
      <c r="D6">
        <v>0.97339997199999995</v>
      </c>
      <c r="E6">
        <v>0</v>
      </c>
      <c r="F6">
        <v>0.204868426615436</v>
      </c>
      <c r="G6">
        <v>47.589903283219002</v>
      </c>
    </row>
    <row r="7" spans="1:8" x14ac:dyDescent="0.2">
      <c r="A7" t="s">
        <v>8</v>
      </c>
      <c r="B7">
        <v>3</v>
      </c>
      <c r="C7">
        <v>1.0042722940861999</v>
      </c>
      <c r="D7">
        <v>0.99307128600000005</v>
      </c>
      <c r="E7">
        <v>0</v>
      </c>
      <c r="F7">
        <v>0.16854652635786099</v>
      </c>
      <c r="G7">
        <v>32.884597630833298</v>
      </c>
    </row>
    <row r="8" spans="1:8" x14ac:dyDescent="0.2">
      <c r="A8" t="s">
        <v>9</v>
      </c>
      <c r="B8">
        <v>1</v>
      </c>
      <c r="C8">
        <v>1.2918566124849</v>
      </c>
      <c r="D8">
        <v>0.99716397499999998</v>
      </c>
      <c r="E8">
        <v>0</v>
      </c>
      <c r="F8">
        <v>0.215921795022879</v>
      </c>
      <c r="G8">
        <v>59.085005403610801</v>
      </c>
    </row>
    <row r="9" spans="1:8" x14ac:dyDescent="0.2">
      <c r="A9" t="s">
        <v>9</v>
      </c>
      <c r="B9">
        <v>2</v>
      </c>
      <c r="C9">
        <v>1.1010237788078301</v>
      </c>
      <c r="D9">
        <v>1.002576887</v>
      </c>
      <c r="E9">
        <v>0</v>
      </c>
      <c r="F9">
        <v>0.18303230955556599</v>
      </c>
      <c r="G9">
        <v>34.324631773801997</v>
      </c>
    </row>
    <row r="10" spans="1:8" x14ac:dyDescent="0.2">
      <c r="A10" t="s">
        <v>9</v>
      </c>
      <c r="B10">
        <v>3</v>
      </c>
      <c r="C10">
        <v>1.05291192129892</v>
      </c>
      <c r="D10">
        <v>0.99491959699999999</v>
      </c>
      <c r="E10">
        <v>0</v>
      </c>
      <c r="F10">
        <v>0.176381408855178</v>
      </c>
      <c r="G10">
        <v>34.252853697448103</v>
      </c>
    </row>
    <row r="11" spans="1:8" x14ac:dyDescent="0.2">
      <c r="A11" t="s">
        <v>10</v>
      </c>
      <c r="B11">
        <v>1</v>
      </c>
      <c r="C11">
        <v>1.3279432386498999</v>
      </c>
      <c r="D11">
        <v>0.956369103</v>
      </c>
      <c r="E11">
        <v>0</v>
      </c>
      <c r="F11">
        <v>0.231420977961389</v>
      </c>
      <c r="G11">
        <v>33.772094776565801</v>
      </c>
      <c r="H11">
        <f>AVERAGE(F11:F13)</f>
        <v>0.20384957022797301</v>
      </c>
    </row>
    <row r="12" spans="1:8" x14ac:dyDescent="0.2">
      <c r="A12" t="s">
        <v>10</v>
      </c>
      <c r="B12">
        <v>2</v>
      </c>
      <c r="C12">
        <v>1.0022637595459201</v>
      </c>
      <c r="D12">
        <v>0.97524828299999999</v>
      </c>
      <c r="E12">
        <v>0</v>
      </c>
      <c r="F12">
        <v>0.17128352116701001</v>
      </c>
      <c r="G12">
        <v>28.532617268658498</v>
      </c>
      <c r="H12">
        <f>AVERAGE(G11:G13)</f>
        <v>38.491715267620265</v>
      </c>
    </row>
    <row r="13" spans="1:8" x14ac:dyDescent="0.2">
      <c r="A13" t="s">
        <v>10</v>
      </c>
      <c r="B13">
        <v>3</v>
      </c>
      <c r="C13">
        <v>1.24603746279459</v>
      </c>
      <c r="D13">
        <v>0.99439150799999998</v>
      </c>
      <c r="E13">
        <v>0</v>
      </c>
      <c r="F13">
        <v>0.20884421155551999</v>
      </c>
      <c r="G13">
        <v>53.170433757636502</v>
      </c>
    </row>
    <row r="14" spans="1:8" x14ac:dyDescent="0.2">
      <c r="A14" t="s">
        <v>11</v>
      </c>
      <c r="B14">
        <v>1</v>
      </c>
      <c r="C14">
        <v>1.3275446527988699</v>
      </c>
      <c r="D14">
        <v>0.97973703899999998</v>
      </c>
      <c r="E14">
        <v>0</v>
      </c>
      <c r="F14">
        <v>0.225833497485181</v>
      </c>
      <c r="G14">
        <v>36.4953229842125</v>
      </c>
    </row>
    <row r="15" spans="1:8" x14ac:dyDescent="0.2">
      <c r="A15" t="s">
        <v>11</v>
      </c>
      <c r="B15">
        <v>2</v>
      </c>
      <c r="C15">
        <v>1.1189730250788199</v>
      </c>
      <c r="D15">
        <v>0.97168368299999996</v>
      </c>
      <c r="E15">
        <v>0</v>
      </c>
      <c r="F15">
        <v>0.19193026232982899</v>
      </c>
      <c r="G15">
        <v>28.025953797213301</v>
      </c>
    </row>
    <row r="16" spans="1:8" x14ac:dyDescent="0.2">
      <c r="A16" t="s">
        <v>11</v>
      </c>
      <c r="B16">
        <v>3</v>
      </c>
      <c r="C16">
        <v>1.1389621571492701</v>
      </c>
      <c r="D16">
        <v>0.99478757500000003</v>
      </c>
      <c r="E16">
        <v>0</v>
      </c>
      <c r="F16">
        <v>0.19082166983392901</v>
      </c>
      <c r="G16">
        <v>32.596146978633797</v>
      </c>
    </row>
    <row r="17" spans="1:7" x14ac:dyDescent="0.2">
      <c r="A17" t="s">
        <v>12</v>
      </c>
      <c r="B17">
        <v>1</v>
      </c>
      <c r="C17">
        <v>1.3009401838043599</v>
      </c>
      <c r="D17">
        <v>0.97841681700000005</v>
      </c>
      <c r="E17">
        <v>0</v>
      </c>
      <c r="F17">
        <v>0.22160633402869401</v>
      </c>
      <c r="G17">
        <v>34.727035688191798</v>
      </c>
    </row>
    <row r="18" spans="1:7" x14ac:dyDescent="0.2">
      <c r="A18" t="s">
        <v>12</v>
      </c>
      <c r="B18">
        <v>2</v>
      </c>
      <c r="C18">
        <v>1.0694165726254601</v>
      </c>
      <c r="D18">
        <v>0.98871455200000002</v>
      </c>
      <c r="E18">
        <v>0</v>
      </c>
      <c r="F18">
        <v>0.180270529119892</v>
      </c>
      <c r="G18">
        <v>29.635468160794598</v>
      </c>
    </row>
    <row r="19" spans="1:7" x14ac:dyDescent="0.2">
      <c r="A19" t="s">
        <v>12</v>
      </c>
      <c r="B19">
        <v>3</v>
      </c>
      <c r="C19">
        <v>1.17660277272379</v>
      </c>
      <c r="D19">
        <v>0.97802074999999999</v>
      </c>
      <c r="E19">
        <v>0</v>
      </c>
      <c r="F19">
        <v>0.200507465839177</v>
      </c>
      <c r="G19">
        <v>48.629482227024099</v>
      </c>
    </row>
    <row r="20" spans="1:7" x14ac:dyDescent="0.2">
      <c r="A20" t="s">
        <v>13</v>
      </c>
      <c r="B20">
        <v>1</v>
      </c>
      <c r="C20">
        <v>1.2492979823430701</v>
      </c>
      <c r="D20">
        <v>0.97762468400000002</v>
      </c>
      <c r="E20">
        <v>0</v>
      </c>
      <c r="F20">
        <v>0.21298186696615001</v>
      </c>
      <c r="G20">
        <v>69.814224121536199</v>
      </c>
    </row>
    <row r="21" spans="1:7" x14ac:dyDescent="0.2">
      <c r="A21" t="s">
        <v>13</v>
      </c>
      <c r="B21">
        <v>2</v>
      </c>
      <c r="C21">
        <v>1.07697735259853</v>
      </c>
      <c r="D21">
        <v>0.97406008300000002</v>
      </c>
      <c r="E21">
        <v>0</v>
      </c>
      <c r="F21">
        <v>0.184276338355083</v>
      </c>
      <c r="G21">
        <v>26.678241316154399</v>
      </c>
    </row>
    <row r="22" spans="1:7" x14ac:dyDescent="0.2">
      <c r="A22" t="s">
        <v>13</v>
      </c>
      <c r="B22">
        <v>3</v>
      </c>
      <c r="C22">
        <v>1.0575364553680899</v>
      </c>
      <c r="D22">
        <v>1.0085178880000001</v>
      </c>
      <c r="E22">
        <v>0</v>
      </c>
      <c r="F22">
        <v>0.17476742652945601</v>
      </c>
      <c r="G22">
        <v>33.365540327183503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BML statistics</vt:lpstr>
      <vt:lpstr>chris kinetic 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Brianna Marie Lax</cp:lastModifiedBy>
  <dcterms:created xsi:type="dcterms:W3CDTF">2026-01-09T10:00:51Z</dcterms:created>
  <dcterms:modified xsi:type="dcterms:W3CDTF">2026-01-13T16:05:42Z</dcterms:modified>
</cp:coreProperties>
</file>